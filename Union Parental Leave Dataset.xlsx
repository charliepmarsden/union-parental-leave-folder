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Ranges - Config" sheetId="2" r:id="rId6"/>
    <sheet state="visible" name="Companies" sheetId="3" r:id="rId7"/>
    <sheet state="visible" name="Benchmarks" sheetId="4" r:id="rId8"/>
    <sheet state="visible" name="BackendInternal--&gt;" sheetId="5" r:id="rId9"/>
    <sheet state="visible" name="Calc" sheetId="6" r:id="rId10"/>
    <sheet state="visible" name="Tool Export" sheetId="7" r:id="rId11"/>
  </sheets>
  <definedNames>
    <definedName name="RampList">'Ranges - Config'!$G$2:$G$5</definedName>
    <definedName name="StageList">'Ranges - Config'!$A$2:$A$6</definedName>
    <definedName name="FlexList">'Ranges - Config'!$F$2:$F$4</definedName>
    <definedName name="IndustryList">'Ranges - Config'!$B$2:$B$6</definedName>
    <definedName name="HCList">'Ranges - Config'!$C$2:$C$3</definedName>
    <definedName name="SourceList">'Ranges - Config'!$H$2:$H$6</definedName>
    <definedName name="ConfList">'Ranges - Config'!$I$2:$I$4</definedName>
    <definedName name="PayList">'Ranges - Config'!$D$2:$D$5</definedName>
    <definedName name="EligList">'Ranges - Config'!$E$2:$E$5</definedName>
  </definedNames>
  <calcPr/>
</workbook>
</file>

<file path=xl/sharedStrings.xml><?xml version="1.0" encoding="utf-8"?>
<sst xmlns="http://schemas.openxmlformats.org/spreadsheetml/2006/main" count="2847" uniqueCount="368">
  <si>
    <t>Union — Parental Leave Benchmark Dataset</t>
  </si>
  <si>
    <t>HOW THIS WORKBOOK WORKS</t>
  </si>
  <si>
    <t>1. You only type on the 'Companies' tab: columns A, B, D–S. Everything else computes itself.</t>
  </si>
  <si>
    <t>2. Column C (Size Band) and column T (Segment) fill in automatically — don't type in them.</t>
  </si>
  <si>
    <t>3. 'Benchmarks' computes n / Min / P25 / Median / P75 / Max per segment, plus the most common (modal) policy settings. All formulas — updates live as rows are added.</t>
  </si>
  <si>
    <t>4. 'Tool Export' translates Benchmarks into the generator's vocabulary: min = P25, mid = Median, label = "P25–P75 wks". Paste these into the tool's benchmark table.</t>
  </si>
  <si>
    <t>5. 'Config' holds every dropdown list, the size-band cutoffs, and the high-cost metro list. Edit lists there, not in the data tab.</t>
  </si>
  <si>
    <t>6. 'Calc' is formula machinery for the modal values on Benchmarks. Ignore it (but don't delete it).</t>
  </si>
  <si>
    <t>DATA RULES</t>
  </si>
  <si>
    <t>• No source URL = no row. Rows missing a Source URL turn red; missing Date Verified turns yellow.</t>
  </si>
  <si>
    <t>• Dropdown columns reject free text — that's what keeps the benchmarks computable.</t>
  </si>
  <si>
    <t>• Headcount over 200 flags as 'OVER 200 ⚠' in Size Band (outside the dataset's scope).</t>
  </si>
  <si>
    <t>• Segments with n &lt; 30 flag as LOW SAMPLE on Benchmarks — don't trust those markers yet.</t>
  </si>
  <si>
    <t>• Row 2 of Companies is a worked EXAMPLE — replace it with real data.</t>
  </si>
  <si>
    <t>USING IN GOOGLE SHEETS</t>
  </si>
  <si>
    <t>Upload to Drive, then open with Google Sheets (or File → Import in an existing Sheet).</t>
  </si>
  <si>
    <t>Formulas, dropdowns, and the red/yellow highlighting all survive the import.</t>
  </si>
  <si>
    <t>Funding Stage</t>
  </si>
  <si>
    <t>Industry</t>
  </si>
  <si>
    <t>High-Cost</t>
  </si>
  <si>
    <t>Pay Structure</t>
  </si>
  <si>
    <t>Eligibility</t>
  </si>
  <si>
    <t>Flexibility</t>
  </si>
  <si>
    <t>Ramp-Up</t>
  </si>
  <si>
    <t>Source Type</t>
  </si>
  <si>
    <t>Confidence</t>
  </si>
  <si>
    <t>High-Cost Metros</t>
  </si>
  <si>
    <t>Pre-seed/Seed</t>
  </si>
  <si>
    <t>Tech</t>
  </si>
  <si>
    <t>Y</t>
  </si>
  <si>
    <t>100% top-up</t>
  </si>
  <si>
    <t>Day 1</t>
  </si>
  <si>
    <t>Single block</t>
  </si>
  <si>
    <t>None</t>
  </si>
  <si>
    <t>Company handbook</t>
  </si>
  <si>
    <t>High</t>
  </si>
  <si>
    <t>SF Bay Area</t>
  </si>
  <si>
    <t>Series A</t>
  </si>
  <si>
    <t>Enterprise SaaS</t>
  </si>
  <si>
    <t>N</t>
  </si>
  <si>
    <t>Partial top-up</t>
  </si>
  <si>
    <t>90 days</t>
  </si>
  <si>
    <t>2 chunks</t>
  </si>
  <si>
    <t>&lt;=1 wk</t>
  </si>
  <si>
    <t>Careers/benefits page</t>
  </si>
  <si>
    <t>Medium</t>
  </si>
  <si>
    <t>NYC</t>
  </si>
  <si>
    <t>Series B+</t>
  </si>
  <si>
    <t>Fintech</t>
  </si>
  <si>
    <t>STD only</t>
  </si>
  <si>
    <t>6 months</t>
  </si>
  <si>
    <t>Flexible chunks / 12 mo</t>
  </si>
  <si>
    <t>1-2 wks</t>
  </si>
  <si>
    <t>Press coverage</t>
  </si>
  <si>
    <t>Low</t>
  </si>
  <si>
    <t>Seattle</t>
  </si>
  <si>
    <t>Bootstrapped</t>
  </si>
  <si>
    <t>Biotech</t>
  </si>
  <si>
    <t>Unpaid beyond legal</t>
  </si>
  <si>
    <t>12 months</t>
  </si>
  <si>
    <t>2-4 wks</t>
  </si>
  <si>
    <t>Benchmark report</t>
  </si>
  <si>
    <t>Unknown</t>
  </si>
  <si>
    <t>Other</t>
  </si>
  <si>
    <t>Job posting</t>
  </si>
  <si>
    <t>Size band cutoffs (edit here):</t>
  </si>
  <si>
    <t>Band 1 max</t>
  </si>
  <si>
    <t>Band 2 max</t>
  </si>
  <si>
    <t>Band 3 max</t>
  </si>
  <si>
    <t>Company Name</t>
  </si>
  <si>
    <t>Headcount</t>
  </si>
  <si>
    <t>Size Band</t>
  </si>
  <si>
    <t>HQ Metro/State</t>
  </si>
  <si>
    <t>High-Cost Market</t>
  </si>
  <si>
    <t>Birthing Parent Leave (wks)</t>
  </si>
  <si>
    <t>Non-Birthing Parent Leave (wks)</t>
  </si>
  <si>
    <t>Pay % (if partial)</t>
  </si>
  <si>
    <t>Ramp-Up Program</t>
  </si>
  <si>
    <t>Source of Truth URL</t>
  </si>
  <si>
    <t>Date Verified</t>
  </si>
  <si>
    <t>Notes</t>
  </si>
  <si>
    <t>Segment (auto)</t>
  </si>
  <si>
    <t>EXAMPLE — Acme Robotics (replace me)</t>
  </si>
  <si>
    <t>New York, NY</t>
  </si>
  <si>
    <t>https://example.com/benefits</t>
  </si>
  <si>
    <t>Worked example showing expected format — delete before analysis</t>
  </si>
  <si>
    <t>PostHog</t>
  </si>
  <si>
    <t>San Francisco, CA</t>
  </si>
  <si>
    <t>https://posthog.com/handbook/people/time-off</t>
  </si>
  <si>
    <t>Headcount estimate 185-202, near/at 200 cap — verify before relying on this row</t>
  </si>
  <si>
    <t>Homebot</t>
  </si>
  <si>
    <t>Denver, CO</t>
  </si>
  <si>
    <t>https://homebot.ai/careers</t>
  </si>
  <si>
    <t>Headcount is a rough estimate (50-75 range)</t>
  </si>
  <si>
    <t>Formation Bio</t>
  </si>
  <si>
    <t>https://www.formation.bio/careers</t>
  </si>
  <si>
    <t>Headcount estimate 150-188, growing toward cap — verify</t>
  </si>
  <si>
    <t>January</t>
  </si>
  <si>
    <t>https://builtin.com/articles/companies-best-maternal-parental-leave</t>
  </si>
  <si>
    <t>Leave must be used within first year of birth/adoption (usage window, not tenure gate)</t>
  </si>
  <si>
    <t>ePayPolicy</t>
  </si>
  <si>
    <t>Austin, TX</t>
  </si>
  <si>
    <t>PE/growth-backed (Serent, LLR) not classic VC — confirm this fits "venture-backed." Birthing = 14wk paid + 6wk STD</t>
  </si>
  <si>
    <t>Soofa</t>
  </si>
  <si>
    <t>Cambridge, MA</t>
  </si>
  <si>
    <t>https://theorg.com/iterate/what-can-parental-leave-look-like-at-an-early-stage-startup</t>
  </si>
  <si>
    <t>Conflicts with Built In Boston (12wk/2wk) — unresolved, treat as unconfirmed</t>
  </si>
  <si>
    <t>HMBradley</t>
  </si>
  <si>
    <t>Los Angeles, CA</t>
  </si>
  <si>
    <t>https://www.linkedin.com/company/hmbradley</t>
  </si>
  <si>
    <t>Company shut consumer product and pivoted 2023; verify policy still applies post-pivot</t>
  </si>
  <si>
    <t>Fleetio</t>
  </si>
  <si>
    <t>Birmingham, AL</t>
  </si>
  <si>
    <t>https://www.fleetio.com/careers</t>
  </si>
  <si>
    <t>Headcount confirmed via Built In (164). Funding stage estimated Series B+ (multiple VC rounds); confirm exact stage before treating as High on that field.</t>
  </si>
  <si>
    <t>[TEST] Nova Health</t>
  </si>
  <si>
    <t>TEST DATA</t>
  </si>
  <si>
    <t>N/A - synthetic test row</t>
  </si>
  <si>
    <t>Test</t>
  </si>
  <si>
    <t>SYNTHETIC TEST ROW — generated for pipeline/formula testing only. Not a real company. Do not treat as verified benchmark data.</t>
  </si>
  <si>
    <t>[TEST] Loom Labs</t>
  </si>
  <si>
    <t>[TEST] Clear Group</t>
  </si>
  <si>
    <t>Chicago, IL</t>
  </si>
  <si>
    <t>[TEST] Fable Field</t>
  </si>
  <si>
    <t>[TEST] Grove Cloud</t>
  </si>
  <si>
    <t>[TEST] Onyx Health</t>
  </si>
  <si>
    <t>Minneapolis, MN</t>
  </si>
  <si>
    <t>[TEST] Drift Works</t>
  </si>
  <si>
    <t>[TEST] Harbor Ventures</t>
  </si>
  <si>
    <t>Atlanta, GA</t>
  </si>
  <si>
    <t>[TEST] North AI</t>
  </si>
  <si>
    <t>Raleigh, NC</t>
  </si>
  <si>
    <t>[TEST] Pivot AI</t>
  </si>
  <si>
    <t>Seattle, WA</t>
  </si>
  <si>
    <t>[TEST] Blue Ventures</t>
  </si>
  <si>
    <t>[TEST] Cobalt Analytics</t>
  </si>
  <si>
    <t>[TEST] Kindle Studio</t>
  </si>
  <si>
    <t>[TEST] North Solutions</t>
  </si>
  <si>
    <t>[TEST] Onyx Bio</t>
  </si>
  <si>
    <t>[TEST] Nova Logic</t>
  </si>
  <si>
    <t>[TEST] Summit AI</t>
  </si>
  <si>
    <t>[TEST] Marsh Networks</t>
  </si>
  <si>
    <t>[TEST] Maple Robotics</t>
  </si>
  <si>
    <t>[TEST] Pivot Cloud</t>
  </si>
  <si>
    <t>[TEST] Blue Networks</t>
  </si>
  <si>
    <t>[TEST] Marsh Ventures</t>
  </si>
  <si>
    <t>[TEST] Bright Technologies</t>
  </si>
  <si>
    <t>[TEST] Summit Cloud</t>
  </si>
  <si>
    <t>[TEST] Onyx Technologies</t>
  </si>
  <si>
    <t>Columbus, OH</t>
  </si>
  <si>
    <t>[TEST] Quartz Robotics</t>
  </si>
  <si>
    <t>[TEST] Pivot Data</t>
  </si>
  <si>
    <t>[TEST] Kindle Robotics</t>
  </si>
  <si>
    <t>[TEST] Kindle Works</t>
  </si>
  <si>
    <t>[TEST] Onyx Networks</t>
  </si>
  <si>
    <t>[TEST] Anchor Group</t>
  </si>
  <si>
    <t>[TEST] Orbit Cloud</t>
  </si>
  <si>
    <t>[TEST] Onyx Robotics</t>
  </si>
  <si>
    <t>[TEST] Cobalt Collective</t>
  </si>
  <si>
    <t>[TEST] Loom Systems</t>
  </si>
  <si>
    <t>[TEST] Bloom Robotics</t>
  </si>
  <si>
    <t>[TEST] Cedar Technologies</t>
  </si>
  <si>
    <t>[TEST] Lattice Collective</t>
  </si>
  <si>
    <t>[TEST] Lattice Logic</t>
  </si>
  <si>
    <t>[TEST] Bloom Field</t>
  </si>
  <si>
    <t>[TEST] Drift Health</t>
  </si>
  <si>
    <t>[TEST] Vertex Systems</t>
  </si>
  <si>
    <t>[TEST] Forge Field</t>
  </si>
  <si>
    <t>[TEST] Rally Ventures</t>
  </si>
  <si>
    <t>[TEST] Vertex Dynamics</t>
  </si>
  <si>
    <t>[TEST] Lattice Networks</t>
  </si>
  <si>
    <t>[TEST] Nova Group</t>
  </si>
  <si>
    <t>[TEST] Rally Labs</t>
  </si>
  <si>
    <t>[TEST] Maple Networks</t>
  </si>
  <si>
    <t>[TEST] Kindle Collective</t>
  </si>
  <si>
    <t>[TEST] Drift Labs</t>
  </si>
  <si>
    <t>[TEST] Pivot Dynamics</t>
  </si>
  <si>
    <t>[TEST] Nova Studio</t>
  </si>
  <si>
    <t>[TEST] Grove Field</t>
  </si>
  <si>
    <t>[TEST] Fable Solutions</t>
  </si>
  <si>
    <t>[TEST] Beacon Logic</t>
  </si>
  <si>
    <t>[TEST] Grove Technologies</t>
  </si>
  <si>
    <t>[TEST] Cobalt Health</t>
  </si>
  <si>
    <t>[TEST] Summit Studio</t>
  </si>
  <si>
    <t>[TEST] Ridge Ventures</t>
  </si>
  <si>
    <t>[TEST] Rally Dynamics</t>
  </si>
  <si>
    <t>[TEST] Onyx Data</t>
  </si>
  <si>
    <t>[TEST] Quartz Studio</t>
  </si>
  <si>
    <t>[TEST] Harbor Solutions</t>
  </si>
  <si>
    <t>[TEST] Slate Field</t>
  </si>
  <si>
    <t>[TEST] Bright Field</t>
  </si>
  <si>
    <t>[TEST] Blue Labs</t>
  </si>
  <si>
    <t>[TEST] Loom Logic</t>
  </si>
  <si>
    <t>[TEST] Marsh Studio</t>
  </si>
  <si>
    <t>[TEST] Pivot Health</t>
  </si>
  <si>
    <t>[TEST] Quartz Works</t>
  </si>
  <si>
    <t>[TEST] Summit Solutions</t>
  </si>
  <si>
    <t>[TEST] Harbor Data</t>
  </si>
  <si>
    <t>[TEST] Nova Data</t>
  </si>
  <si>
    <t>[TEST] Orbit Studio</t>
  </si>
  <si>
    <t>[TEST] Vertex Robotics</t>
  </si>
  <si>
    <t>[TEST] Forge Analytics</t>
  </si>
  <si>
    <t>[TEST] Anchor Logic</t>
  </si>
  <si>
    <t>[TEST] Grove Bio</t>
  </si>
  <si>
    <t>[TEST] Harbor Collective</t>
  </si>
  <si>
    <t>[TEST] Pivot Robotics</t>
  </si>
  <si>
    <t>[TEST] Harbor Health</t>
  </si>
  <si>
    <t>[TEST] Maple Studio</t>
  </si>
  <si>
    <t>[TEST] Kindle Labs</t>
  </si>
  <si>
    <t>[TEST] Blue Systems</t>
  </si>
  <si>
    <t>[TEST] Kindle Ventures</t>
  </si>
  <si>
    <t>[TEST] Onyx Dynamics</t>
  </si>
  <si>
    <t>[TEST] Onyx Studio</t>
  </si>
  <si>
    <t>[TEST] Vertex Bio</t>
  </si>
  <si>
    <t>[TEST] Delta Networks</t>
  </si>
  <si>
    <t>[TEST] Rally Studio</t>
  </si>
  <si>
    <t>[TEST] Marsh Collective</t>
  </si>
  <si>
    <t>[TEST] Clear Cloud</t>
  </si>
  <si>
    <t>[TEST] North Works</t>
  </si>
  <si>
    <t>[TEST] Cedar Data</t>
  </si>
  <si>
    <t>[TEST] Cobalt Ventures</t>
  </si>
  <si>
    <t>[TEST] Cobalt Robotics</t>
  </si>
  <si>
    <t>[TEST] North Logic</t>
  </si>
  <si>
    <t>[TEST] Slate Labs</t>
  </si>
  <si>
    <t>[TEST] Marsh Cloud</t>
  </si>
  <si>
    <t>[TEST] Pivot Group</t>
  </si>
  <si>
    <t>[TEST] Nova Works</t>
  </si>
  <si>
    <t>[TEST] North Health</t>
  </si>
  <si>
    <t>[TEST] Clear Robotics</t>
  </si>
  <si>
    <t>[TEST] Clear Technologies</t>
  </si>
  <si>
    <t>[TEST] Beacon Group</t>
  </si>
  <si>
    <t>[TEST] Cedar Networks</t>
  </si>
  <si>
    <t>[TEST] Ridge Data</t>
  </si>
  <si>
    <t>[TEST] Fable Dynamics</t>
  </si>
  <si>
    <t>[TEST] Summit Analytics</t>
  </si>
  <si>
    <t>[TEST] Beacon Technologies</t>
  </si>
  <si>
    <t>[TEST] Pivot Networks</t>
  </si>
  <si>
    <t>[TEST] Quartz Solutions</t>
  </si>
  <si>
    <t>[TEST] Drift Dynamics</t>
  </si>
  <si>
    <t>[TEST] Cedar Group</t>
  </si>
  <si>
    <t>[TEST] Anchor Robotics</t>
  </si>
  <si>
    <t>[TEST] Harbor AI</t>
  </si>
  <si>
    <t>[TEST] Kindle Group</t>
  </si>
  <si>
    <t>[TEST] Drift Solutions</t>
  </si>
  <si>
    <t>[TEST] Marsh Dynamics</t>
  </si>
  <si>
    <t>[TEST] Summit Health</t>
  </si>
  <si>
    <t>[TEST] Quartz Bio</t>
  </si>
  <si>
    <t>[TEST] Maple Systems</t>
  </si>
  <si>
    <t>[TEST] Drift Technologies</t>
  </si>
  <si>
    <t>[TEST] Cedar Field</t>
  </si>
  <si>
    <t>[TEST] Harbor Analytics</t>
  </si>
  <si>
    <t>[TEST] Bloom Group</t>
  </si>
  <si>
    <t>[TEST] Bloom Data</t>
  </si>
  <si>
    <t>[TEST] Marsh Systems</t>
  </si>
  <si>
    <t>[TEST] Beacon Ventures</t>
  </si>
  <si>
    <t>[TEST] Drift Collective</t>
  </si>
  <si>
    <t>[TEST] Orbit Robotics</t>
  </si>
  <si>
    <t>[TEST] Fable Ventures</t>
  </si>
  <si>
    <t>[TEST] Nova Technologies</t>
  </si>
  <si>
    <t>[TEST] Pivot Field</t>
  </si>
  <si>
    <t>[TEST] Vertex Studio</t>
  </si>
  <si>
    <t>[TEST] Maple AI</t>
  </si>
  <si>
    <t>[TEST] Ridge Health</t>
  </si>
  <si>
    <t>[TEST] Ridge Dynamics</t>
  </si>
  <si>
    <t>[TEST] Delta Systems</t>
  </si>
  <si>
    <t>[TEST] Bright Bio</t>
  </si>
  <si>
    <t>[TEST] Ridge Works</t>
  </si>
  <si>
    <t>[TEST] Harbor Technologies</t>
  </si>
  <si>
    <t>[TEST] Lattice Field</t>
  </si>
  <si>
    <t>[TEST] Bright Group</t>
  </si>
  <si>
    <t>[TEST] Slate Ventures</t>
  </si>
  <si>
    <t>[TEST] Quartz Analytics</t>
  </si>
  <si>
    <t>[TEST] Orbit Data</t>
  </si>
  <si>
    <t>[TEST] Grove Health</t>
  </si>
  <si>
    <t>[TEST] Onyx Systems</t>
  </si>
  <si>
    <t>[TEST] Quartz Group</t>
  </si>
  <si>
    <t>[TEST] Delta Health</t>
  </si>
  <si>
    <t>[TEST] Bright Robotics</t>
  </si>
  <si>
    <t>[TEST] Maple Data</t>
  </si>
  <si>
    <t>[TEST] Beacon Field</t>
  </si>
  <si>
    <t>[TEST] Quartz Networks</t>
  </si>
  <si>
    <t>[TEST] Onyx Works</t>
  </si>
  <si>
    <t>[TEST] Ridge Collective</t>
  </si>
  <si>
    <t>[TEST] North Robotics</t>
  </si>
  <si>
    <t>[TEST] Cobalt Systems</t>
  </si>
  <si>
    <t>[TEST] Bright Works</t>
  </si>
  <si>
    <t>[TEST] Harbor Group</t>
  </si>
  <si>
    <t>[TEST] Forge Dynamics</t>
  </si>
  <si>
    <t>[TEST] Drift Analytics</t>
  </si>
  <si>
    <t>[TEST] North Field</t>
  </si>
  <si>
    <t>[TEST] Fable AI</t>
  </si>
  <si>
    <t>[TEST] Marsh Labs</t>
  </si>
  <si>
    <t>[TEST] Vertex Works</t>
  </si>
  <si>
    <t>[TEST] Orbit Solutions</t>
  </si>
  <si>
    <t>[TEST] Delta Data</t>
  </si>
  <si>
    <t>[TEST] Anchor Studio</t>
  </si>
  <si>
    <t>[TEST] Fable Group</t>
  </si>
  <si>
    <t>[TEST] Rally Bio</t>
  </si>
  <si>
    <t>[TEST] Kindle AI</t>
  </si>
  <si>
    <t>[TEST] Orbit Systems</t>
  </si>
  <si>
    <t>[TEST] Vertex Data</t>
  </si>
  <si>
    <t>[TEST] Blue Studio</t>
  </si>
  <si>
    <t>[TEST] Bloom Solutions</t>
  </si>
  <si>
    <t>[TEST] Maple Dynamics</t>
  </si>
  <si>
    <t>[TEST] Summit Collective</t>
  </si>
  <si>
    <t>[TEST] Loom Technologies</t>
  </si>
  <si>
    <t>[TEST] Ridge Field</t>
  </si>
  <si>
    <t>[TEST] Drift Data</t>
  </si>
  <si>
    <t>[TEST] Summit Logic</t>
  </si>
  <si>
    <t>[TEST] Onyx Logic</t>
  </si>
  <si>
    <t>[TEST] Pivot Studio</t>
  </si>
  <si>
    <t>[TEST] Forge Works</t>
  </si>
  <si>
    <t>[TEST] Pivot Collective</t>
  </si>
  <si>
    <t>[TEST] Vertex Labs</t>
  </si>
  <si>
    <t>[TEST] North Dynamics</t>
  </si>
  <si>
    <t>[TEST] Slate Works</t>
  </si>
  <si>
    <t>[TEST] Anchor Cloud</t>
  </si>
  <si>
    <t>[TEST] Cedar AI</t>
  </si>
  <si>
    <t>[TEST] Forge Solutions</t>
  </si>
  <si>
    <t>[TEST] Rally Cloud</t>
  </si>
  <si>
    <t>[TEST] Cobalt Technologies</t>
  </si>
  <si>
    <t>[TEST] Bright Health</t>
  </si>
  <si>
    <t>[TEST] Nova Bio</t>
  </si>
  <si>
    <t>[TEST] Anchor Collective</t>
  </si>
  <si>
    <t>[TEST] Beacon Solutions</t>
  </si>
  <si>
    <t>Segment</t>
  </si>
  <si>
    <t>Cost of Market</t>
  </si>
  <si>
    <t># of Companies in Sample</t>
  </si>
  <si>
    <t>Sample Size Warning (Less than 30)</t>
  </si>
  <si>
    <t>Birthing Parent Minimum (weeks)</t>
  </si>
  <si>
    <t>Birthing Parent Bottom 25% (weeks)</t>
  </si>
  <si>
    <t>Birthing Parent Median (weeks)</t>
  </si>
  <si>
    <t>Birthing Parent top 75% (weeks)</t>
  </si>
  <si>
    <t>Birthing Parent Max (weeks)</t>
  </si>
  <si>
    <t>Non-Birthing Parent Minimum (weeks)</t>
  </si>
  <si>
    <t>Non-Birthing Parent Bottom 25% (weeks)</t>
  </si>
  <si>
    <t>Non-Birthing Parent Median (weeks)</t>
  </si>
  <si>
    <t>Non-Birthing Parent top 75% (weeks)</t>
  </si>
  <si>
    <t>Non-Birthing Parent Max (weeks)</t>
  </si>
  <si>
    <t>Pay Structure (typical)</t>
  </si>
  <si>
    <t>Eligibility (typical)</t>
  </si>
  <si>
    <t>Flexibility (typical)</t>
  </si>
  <si>
    <t>Ramp-Up (typical)</t>
  </si>
  <si>
    <t>Seed | Standard</t>
  </si>
  <si>
    <t>Seed</t>
  </si>
  <si>
    <t>Standard</t>
  </si>
  <si>
    <t>Seed | High-cost</t>
  </si>
  <si>
    <t>High-cost</t>
  </si>
  <si>
    <t>Series A | Standard</t>
  </si>
  <si>
    <t>Series A | High-cost</t>
  </si>
  <si>
    <t>Series B+ | Standard</t>
  </si>
  <si>
    <t>Series B+ | High-cost</t>
  </si>
  <si>
    <t>Machinery for the 'typical' columns on Benchmarks — counts per segment per option. Don't edit.</t>
  </si>
  <si>
    <t>Pay</t>
  </si>
  <si>
    <t>Elig</t>
  </si>
  <si>
    <t>Flex</t>
  </si>
  <si>
    <t>Ramp</t>
  </si>
  <si>
    <t>Birthing Weeks — Floor (min)</t>
  </si>
  <si>
    <t>Birthing Weeks — Typical (mid)</t>
  </si>
  <si>
    <t>Birthing Weeks — Range Label</t>
  </si>
  <si>
    <t>Non-Birthing Weeks — Floor (min)</t>
  </si>
  <si>
    <t>Non-Birthing Weeks — Typical (mid)</t>
  </si>
  <si>
    <t>Non-Birthing Weeks — Range Label</t>
  </si>
  <si>
    <t>Pay Structure (payFT)</t>
  </si>
  <si>
    <t>Eligibility Rule (eligibility)</t>
  </si>
  <si>
    <t>Flexibility Option (flexibility)</t>
  </si>
  <si>
    <t>Ramp-Up Program (rampUp)</t>
  </si>
  <si>
    <t>Data Confidence 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</si>
</sst>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yyyy-mm-dd"/>
    <numFmt numFmtId="166" formatCode="0.#"/>
  </numFmts>
  <fonts count="1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i/>
      <sz val="10.0"/>
      <color rgb="FF666666"/>
      <name val="Arial"/>
    </font>
    <font>
      <sz val="10.0"/>
      <color rgb="FF404040"/>
      <name val="Arial"/>
    </font>
    <font>
      <color theme="1"/>
      <name val="Calibri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B45309"/>
      <name val="Arial"/>
    </font>
    <font>
      <b/>
      <sz val="1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B4D"/>
        <bgColor rgb="FF1F3B4D"/>
      </patternFill>
    </fill>
    <fill>
      <patternFill patternType="solid">
        <fgColor rgb="FFFCE5CD"/>
        <bgColor rgb="FFFCE5CD"/>
      </patternFill>
    </fill>
    <fill>
      <patternFill patternType="solid">
        <fgColor rgb="FF7F6000"/>
        <bgColor rgb="FF7F6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4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0" fillId="3" fontId="6" numFmtId="0" xfId="0" applyAlignment="1" applyFill="1" applyFont="1">
      <alignment shrinkToFit="0" vertical="bottom" wrapText="0"/>
    </xf>
    <xf borderId="0" fillId="3" fontId="7" numFmtId="0" xfId="0" applyAlignment="1" applyFont="1">
      <alignment shrinkToFit="0" vertical="bottom" wrapText="0"/>
    </xf>
    <xf borderId="0" fillId="3" fontId="8" numFmtId="0" xfId="0" applyFont="1"/>
    <xf borderId="0" fillId="3" fontId="6" numFmtId="164" xfId="0" applyAlignment="1" applyFont="1" applyNumberForma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0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shrinkToFit="0" vertical="bottom" wrapText="0"/>
    </xf>
    <xf borderId="0" fillId="0" fontId="10" numFmtId="165" xfId="0" applyAlignment="1" applyFont="1" applyNumberFormat="1">
      <alignment horizontal="right" vertical="bottom"/>
    </xf>
    <xf borderId="0" fillId="0" fontId="10" numFmtId="0" xfId="0" applyAlignment="1" applyFont="1">
      <alignment readingOrder="0" vertical="bottom"/>
    </xf>
    <xf borderId="0" fillId="0" fontId="8" numFmtId="0" xfId="0" applyFont="1"/>
    <xf borderId="0" fillId="0" fontId="12" numFmtId="164" xfId="0" applyAlignment="1" applyFont="1" applyNumberFormat="1">
      <alignment shrinkToFit="0" vertical="bottom" wrapText="0"/>
    </xf>
    <xf borderId="1" fillId="2" fontId="13" numFmtId="0" xfId="0" applyAlignment="1" applyBorder="1" applyFont="1">
      <alignment shrinkToFit="0" wrapText="1"/>
    </xf>
    <xf borderId="1" fillId="4" fontId="13" numFmtId="0" xfId="0" applyAlignment="1" applyBorder="1" applyFill="1" applyFont="1">
      <alignment shrinkToFit="0" wrapText="1"/>
    </xf>
    <xf borderId="1" fillId="4" fontId="13" numFmtId="0" xfId="0" applyAlignment="1" applyBorder="1" applyFont="1">
      <alignment readingOrder="0" shrinkToFit="0" wrapText="1"/>
    </xf>
    <xf borderId="1" fillId="2" fontId="13" numFmtId="0" xfId="0" applyAlignment="1" applyBorder="1" applyFont="1">
      <alignment readingOrder="0" shrinkToFit="0" wrapText="1"/>
    </xf>
    <xf borderId="0" fillId="0" fontId="14" numFmtId="0" xfId="0" applyAlignment="1" applyFon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2" numFmtId="0" xfId="0" applyAlignment="1" applyFont="1">
      <alignment vertical="bottom"/>
    </xf>
    <xf borderId="1" fillId="2" fontId="1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osthog.com/handbook/people/time-off" TargetMode="External"/><Relationship Id="rId2" Type="http://schemas.openxmlformats.org/officeDocument/2006/relationships/hyperlink" Target="https://homebot.ai/careers" TargetMode="External"/><Relationship Id="rId3" Type="http://schemas.openxmlformats.org/officeDocument/2006/relationships/hyperlink" Target="https://www.formation.bio/careers" TargetMode="External"/><Relationship Id="rId4" Type="http://schemas.openxmlformats.org/officeDocument/2006/relationships/hyperlink" Target="https://builtin.com/articles/companies-best-maternal-parental-leave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builtin.com/articles/companies-best-maternal-parental-leave" TargetMode="External"/><Relationship Id="rId6" Type="http://schemas.openxmlformats.org/officeDocument/2006/relationships/hyperlink" Target="https://theorg.com/iterate/what-can-parental-leave-look-like-at-an-early-stage-startup" TargetMode="External"/><Relationship Id="rId7" Type="http://schemas.openxmlformats.org/officeDocument/2006/relationships/hyperlink" Target="https://www.linkedin.com/company/hmbradley" TargetMode="External"/><Relationship Id="rId8" Type="http://schemas.openxmlformats.org/officeDocument/2006/relationships/hyperlink" Target="https://www.fleetio.com/career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B4D"/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/>
    </row>
    <row r="11">
      <c r="A11" s="3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4" t="s">
        <v>12</v>
      </c>
    </row>
    <row r="16">
      <c r="A16" s="2" t="s">
        <v>13</v>
      </c>
    </row>
    <row r="17">
      <c r="A17" s="2"/>
    </row>
    <row r="18">
      <c r="A18" s="3" t="s">
        <v>14</v>
      </c>
    </row>
    <row r="19">
      <c r="A19" s="2" t="s">
        <v>15</v>
      </c>
    </row>
    <row r="20">
      <c r="A20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2.0"/>
    <col customWidth="1" min="11" max="26" width="8.7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</row>
    <row r="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</row>
    <row r="4">
      <c r="A4" s="2" t="s">
        <v>47</v>
      </c>
      <c r="B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</row>
    <row r="5">
      <c r="A5" s="2" t="s">
        <v>56</v>
      </c>
      <c r="B5" s="2" t="s">
        <v>57</v>
      </c>
      <c r="D5" s="2" t="s">
        <v>58</v>
      </c>
      <c r="E5" s="2" t="s">
        <v>59</v>
      </c>
      <c r="G5" s="2" t="s">
        <v>60</v>
      </c>
      <c r="H5" s="2" t="s">
        <v>61</v>
      </c>
    </row>
    <row r="6">
      <c r="A6" s="2" t="s">
        <v>62</v>
      </c>
      <c r="B6" s="2" t="s">
        <v>63</v>
      </c>
      <c r="H6" s="2" t="s">
        <v>64</v>
      </c>
    </row>
    <row r="9">
      <c r="A9" s="3" t="s">
        <v>65</v>
      </c>
    </row>
    <row r="10">
      <c r="A10" s="2" t="s">
        <v>66</v>
      </c>
      <c r="B10" s="6">
        <v>25.0</v>
      </c>
    </row>
    <row r="11">
      <c r="A11" s="2" t="s">
        <v>67</v>
      </c>
      <c r="B11" s="6">
        <v>75.0</v>
      </c>
    </row>
    <row r="12">
      <c r="A12" s="2" t="s">
        <v>68</v>
      </c>
      <c r="B12" s="6">
        <v>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0.0"/>
    <col customWidth="1" min="3" max="3" width="9.0"/>
    <col customWidth="1" min="4" max="4" width="14.0"/>
    <col customWidth="1" min="5" max="5" width="15.0"/>
    <col customWidth="1" min="6" max="6" width="16.0"/>
    <col customWidth="1" min="7" max="7" width="10.0"/>
    <col customWidth="1" min="8" max="9" width="12.0"/>
    <col customWidth="1" min="10" max="10" width="16.0"/>
    <col customWidth="1" min="11" max="11" width="10.0"/>
    <col customWidth="1" min="12" max="12" width="11.0"/>
    <col customWidth="1" min="13" max="13" width="20.0"/>
    <col customWidth="1" min="14" max="14" width="12.0"/>
    <col customWidth="1" min="15" max="15" width="20.0"/>
    <col customWidth="1" min="16" max="16" width="34.0"/>
    <col customWidth="1" min="17" max="17" width="12.0"/>
    <col customWidth="1" min="18" max="18" width="13.43"/>
    <col customWidth="1" min="19" max="19" width="30.0"/>
    <col customWidth="1" min="20" max="20" width="22.0"/>
  </cols>
  <sheetData>
    <row r="1" ht="64.5" customHeight="1">
      <c r="A1" s="7" t="s">
        <v>69</v>
      </c>
      <c r="B1" s="7" t="s">
        <v>70</v>
      </c>
      <c r="C1" s="7" t="s">
        <v>71</v>
      </c>
      <c r="D1" s="7" t="s">
        <v>17</v>
      </c>
      <c r="E1" s="7" t="s">
        <v>18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20</v>
      </c>
      <c r="K1" s="7" t="s">
        <v>76</v>
      </c>
      <c r="L1" s="7" t="s">
        <v>21</v>
      </c>
      <c r="M1" s="7" t="s">
        <v>22</v>
      </c>
      <c r="N1" s="7" t="s">
        <v>77</v>
      </c>
      <c r="O1" s="7" t="s">
        <v>24</v>
      </c>
      <c r="P1" s="8" t="s">
        <v>78</v>
      </c>
      <c r="Q1" s="7" t="s">
        <v>79</v>
      </c>
      <c r="R1" s="7" t="s">
        <v>25</v>
      </c>
      <c r="S1" s="7" t="s">
        <v>80</v>
      </c>
      <c r="T1" s="7" t="s">
        <v>81</v>
      </c>
    </row>
    <row r="2">
      <c r="A2" s="9" t="s">
        <v>82</v>
      </c>
      <c r="B2" s="9">
        <v>42.0</v>
      </c>
      <c r="C2" s="10" t="str">
        <f>IF($B2="","",IF($B2&lt;='Ranges - Config'!$B$10,"1-25",IF($B2&lt;='Ranges - Config'!$B$11,"26-75",IF($B2&lt;='Ranges - Config'!$B$12,"76-200","OVER 200 !"))))</f>
        <v>26-75</v>
      </c>
      <c r="D2" s="9" t="s">
        <v>37</v>
      </c>
      <c r="E2" s="9" t="s">
        <v>28</v>
      </c>
      <c r="F2" s="9" t="s">
        <v>83</v>
      </c>
      <c r="G2" s="9" t="s">
        <v>29</v>
      </c>
      <c r="H2" s="9">
        <v>14.0</v>
      </c>
      <c r="I2" s="9">
        <v>8.0</v>
      </c>
      <c r="J2" s="9" t="s">
        <v>30</v>
      </c>
      <c r="K2" s="11"/>
      <c r="L2" s="9" t="s">
        <v>41</v>
      </c>
      <c r="M2" s="9" t="s">
        <v>51</v>
      </c>
      <c r="N2" s="9" t="s">
        <v>52</v>
      </c>
      <c r="O2" s="9" t="s">
        <v>44</v>
      </c>
      <c r="P2" s="9" t="s">
        <v>84</v>
      </c>
      <c r="Q2" s="12">
        <v>46215.0</v>
      </c>
      <c r="R2" s="9" t="s">
        <v>35</v>
      </c>
      <c r="S2" s="9" t="s">
        <v>85</v>
      </c>
      <c r="T2" s="10" t="str">
        <f>IF(OR($D2="",$G2=""),"",IF(OR($D2="Bootstrapped",$D2="Unknown"),"Not benchmarked",IF($D2="Pre-seed/Seed","Seed",$D2)&amp;" | "&amp;IF($G2="Y","High-cost","Standard")))</f>
        <v>Series A | High-cost</v>
      </c>
    </row>
    <row r="3">
      <c r="A3" s="13" t="s">
        <v>86</v>
      </c>
      <c r="B3" s="14">
        <v>195.0</v>
      </c>
      <c r="C3" s="15"/>
      <c r="D3" s="16" t="s">
        <v>47</v>
      </c>
      <c r="E3" s="16" t="s">
        <v>38</v>
      </c>
      <c r="F3" s="16" t="s">
        <v>87</v>
      </c>
      <c r="G3" s="16" t="s">
        <v>29</v>
      </c>
      <c r="H3" s="14">
        <v>24.0</v>
      </c>
      <c r="I3" s="14">
        <v>4.0</v>
      </c>
      <c r="J3" s="16" t="s">
        <v>30</v>
      </c>
      <c r="K3" s="16"/>
      <c r="L3" s="16" t="s">
        <v>59</v>
      </c>
      <c r="M3" s="16" t="s">
        <v>32</v>
      </c>
      <c r="N3" s="16"/>
      <c r="O3" s="16" t="s">
        <v>34</v>
      </c>
      <c r="P3" s="17" t="s">
        <v>88</v>
      </c>
      <c r="Q3" s="18">
        <v>46215.0</v>
      </c>
      <c r="R3" s="16" t="s">
        <v>35</v>
      </c>
      <c r="S3" s="16" t="s">
        <v>89</v>
      </c>
      <c r="T3" s="19"/>
    </row>
    <row r="4">
      <c r="A4" s="13" t="s">
        <v>90</v>
      </c>
      <c r="B4" s="14">
        <v>65.0</v>
      </c>
      <c r="C4" s="15"/>
      <c r="D4" s="16" t="s">
        <v>27</v>
      </c>
      <c r="E4" s="16" t="s">
        <v>48</v>
      </c>
      <c r="F4" s="16" t="s">
        <v>91</v>
      </c>
      <c r="G4" s="16" t="s">
        <v>39</v>
      </c>
      <c r="H4" s="14">
        <v>12.0</v>
      </c>
      <c r="I4" s="14">
        <v>12.0</v>
      </c>
      <c r="J4" s="16" t="s">
        <v>30</v>
      </c>
      <c r="K4" s="16"/>
      <c r="L4" s="16"/>
      <c r="M4" s="16"/>
      <c r="N4" s="16"/>
      <c r="O4" s="16" t="s">
        <v>44</v>
      </c>
      <c r="P4" s="17" t="s">
        <v>92</v>
      </c>
      <c r="Q4" s="18">
        <v>46215.0</v>
      </c>
      <c r="R4" s="16" t="s">
        <v>35</v>
      </c>
      <c r="S4" s="16" t="s">
        <v>93</v>
      </c>
      <c r="T4" s="19" t="str">
        <f t="shared" ref="T4:T9" si="1">IF(OR($D4="",$G4=""),"",IF(OR($D4="Bootstrapped",$D4="Unknown"),"Not benchmarked",IF($D4="Pre-seed/Seed","Seed",$D4)&amp;" | "&amp;IF($G4="Y","High-cost","Standard")))</f>
        <v>Seed | Standard</v>
      </c>
    </row>
    <row r="5">
      <c r="A5" s="13" t="s">
        <v>94</v>
      </c>
      <c r="B5" s="14">
        <v>170.0</v>
      </c>
      <c r="C5" s="15"/>
      <c r="D5" s="16" t="s">
        <v>47</v>
      </c>
      <c r="E5" s="16" t="s">
        <v>57</v>
      </c>
      <c r="F5" s="16" t="s">
        <v>83</v>
      </c>
      <c r="G5" s="16" t="s">
        <v>29</v>
      </c>
      <c r="H5" s="14">
        <v>16.0</v>
      </c>
      <c r="I5" s="14">
        <v>12.0</v>
      </c>
      <c r="J5" s="16" t="s">
        <v>30</v>
      </c>
      <c r="K5" s="16"/>
      <c r="L5" s="16"/>
      <c r="M5" s="16"/>
      <c r="N5" s="16"/>
      <c r="O5" s="16" t="s">
        <v>44</v>
      </c>
      <c r="P5" s="17" t="s">
        <v>95</v>
      </c>
      <c r="Q5" s="18">
        <v>46215.0</v>
      </c>
      <c r="R5" s="16" t="s">
        <v>35</v>
      </c>
      <c r="S5" s="16" t="s">
        <v>96</v>
      </c>
      <c r="T5" s="19" t="str">
        <f t="shared" si="1"/>
        <v>Series B+ | High-cost</v>
      </c>
    </row>
    <row r="6">
      <c r="A6" s="13" t="s">
        <v>97</v>
      </c>
      <c r="B6" s="14">
        <v>58.0</v>
      </c>
      <c r="C6" s="15"/>
      <c r="D6" s="16" t="s">
        <v>47</v>
      </c>
      <c r="E6" s="16" t="s">
        <v>48</v>
      </c>
      <c r="F6" s="16" t="s">
        <v>83</v>
      </c>
      <c r="G6" s="16" t="s">
        <v>29</v>
      </c>
      <c r="H6" s="14">
        <v>12.0</v>
      </c>
      <c r="I6" s="14">
        <v>12.0</v>
      </c>
      <c r="J6" s="16" t="s">
        <v>30</v>
      </c>
      <c r="K6" s="16"/>
      <c r="L6" s="16"/>
      <c r="M6" s="16"/>
      <c r="N6" s="16"/>
      <c r="O6" s="16" t="s">
        <v>53</v>
      </c>
      <c r="P6" s="17" t="s">
        <v>98</v>
      </c>
      <c r="Q6" s="20">
        <v>46217.0</v>
      </c>
      <c r="R6" s="21" t="s">
        <v>35</v>
      </c>
      <c r="S6" s="16" t="s">
        <v>99</v>
      </c>
      <c r="T6" s="19" t="str">
        <f t="shared" si="1"/>
        <v>Series B+ | High-cost</v>
      </c>
    </row>
    <row r="7">
      <c r="A7" s="13" t="s">
        <v>100</v>
      </c>
      <c r="B7" s="14">
        <v>155.0</v>
      </c>
      <c r="C7" s="15"/>
      <c r="D7" s="16" t="s">
        <v>47</v>
      </c>
      <c r="E7" s="16" t="s">
        <v>48</v>
      </c>
      <c r="F7" s="16" t="s">
        <v>101</v>
      </c>
      <c r="G7" s="16" t="s">
        <v>39</v>
      </c>
      <c r="H7" s="14">
        <v>20.0</v>
      </c>
      <c r="I7" s="14">
        <v>14.0</v>
      </c>
      <c r="J7" s="16" t="s">
        <v>30</v>
      </c>
      <c r="K7" s="16"/>
      <c r="L7" s="16"/>
      <c r="M7" s="16" t="s">
        <v>51</v>
      </c>
      <c r="N7" s="16"/>
      <c r="O7" s="16" t="s">
        <v>53</v>
      </c>
      <c r="P7" s="17" t="s">
        <v>98</v>
      </c>
      <c r="Q7" s="20">
        <v>46217.0</v>
      </c>
      <c r="R7" s="21" t="s">
        <v>35</v>
      </c>
      <c r="S7" s="16" t="s">
        <v>102</v>
      </c>
      <c r="T7" s="19" t="str">
        <f t="shared" si="1"/>
        <v>Series B+ | Standard</v>
      </c>
    </row>
    <row r="8">
      <c r="A8" s="13" t="s">
        <v>103</v>
      </c>
      <c r="B8" s="14">
        <v>30.0</v>
      </c>
      <c r="C8" s="15"/>
      <c r="D8" s="16" t="s">
        <v>27</v>
      </c>
      <c r="E8" s="16" t="s">
        <v>63</v>
      </c>
      <c r="F8" s="16" t="s">
        <v>104</v>
      </c>
      <c r="G8" s="16" t="s">
        <v>39</v>
      </c>
      <c r="H8" s="14">
        <v>8.0</v>
      </c>
      <c r="I8" s="16"/>
      <c r="J8" s="16" t="s">
        <v>30</v>
      </c>
      <c r="K8" s="16"/>
      <c r="L8" s="16"/>
      <c r="M8" s="16"/>
      <c r="N8" s="16" t="s">
        <v>60</v>
      </c>
      <c r="O8" s="16" t="s">
        <v>53</v>
      </c>
      <c r="P8" s="17" t="s">
        <v>105</v>
      </c>
      <c r="Q8" s="20">
        <v>46217.0</v>
      </c>
      <c r="R8" s="21" t="s">
        <v>35</v>
      </c>
      <c r="S8" s="16" t="s">
        <v>106</v>
      </c>
      <c r="T8" s="19" t="str">
        <f t="shared" si="1"/>
        <v>Seed | Standard</v>
      </c>
    </row>
    <row r="9">
      <c r="A9" s="13" t="s">
        <v>107</v>
      </c>
      <c r="B9" s="14">
        <v>40.0</v>
      </c>
      <c r="C9" s="15"/>
      <c r="D9" s="16" t="s">
        <v>47</v>
      </c>
      <c r="E9" s="16" t="s">
        <v>48</v>
      </c>
      <c r="F9" s="16" t="s">
        <v>108</v>
      </c>
      <c r="G9" s="16" t="s">
        <v>39</v>
      </c>
      <c r="H9" s="14">
        <v>12.0</v>
      </c>
      <c r="I9" s="14">
        <v>12.0</v>
      </c>
      <c r="J9" s="16" t="s">
        <v>30</v>
      </c>
      <c r="K9" s="16"/>
      <c r="L9" s="16"/>
      <c r="M9" s="16"/>
      <c r="N9" s="16"/>
      <c r="O9" s="16" t="s">
        <v>64</v>
      </c>
      <c r="P9" s="17" t="s">
        <v>109</v>
      </c>
      <c r="Q9" s="20">
        <v>46217.0</v>
      </c>
      <c r="R9" s="21" t="s">
        <v>35</v>
      </c>
      <c r="S9" s="16" t="s">
        <v>110</v>
      </c>
      <c r="T9" s="19" t="str">
        <f t="shared" si="1"/>
        <v>Series B+ | Standard</v>
      </c>
    </row>
    <row r="10">
      <c r="A10" s="13" t="s">
        <v>111</v>
      </c>
      <c r="B10" s="14">
        <v>164.0</v>
      </c>
      <c r="C10" s="15"/>
      <c r="D10" s="16" t="s">
        <v>47</v>
      </c>
      <c r="E10" s="16" t="s">
        <v>28</v>
      </c>
      <c r="F10" s="16" t="s">
        <v>112</v>
      </c>
      <c r="G10" s="16" t="s">
        <v>39</v>
      </c>
      <c r="H10" s="14">
        <v>16.0</v>
      </c>
      <c r="I10" s="14">
        <v>4.0</v>
      </c>
      <c r="J10" s="16" t="s">
        <v>30</v>
      </c>
      <c r="K10" s="16"/>
      <c r="L10" s="16"/>
      <c r="M10" s="16"/>
      <c r="N10" s="16"/>
      <c r="O10" s="16" t="s">
        <v>44</v>
      </c>
      <c r="P10" s="17" t="s">
        <v>113</v>
      </c>
      <c r="Q10" s="18">
        <v>46217.0</v>
      </c>
      <c r="R10" s="16" t="s">
        <v>35</v>
      </c>
      <c r="S10" s="16" t="s">
        <v>114</v>
      </c>
      <c r="T10" s="15"/>
    </row>
    <row r="11">
      <c r="A11" s="16" t="s">
        <v>115</v>
      </c>
      <c r="B11" s="14">
        <v>18.0</v>
      </c>
      <c r="C11" s="15"/>
      <c r="D11" s="16" t="s">
        <v>37</v>
      </c>
      <c r="E11" s="16" t="s">
        <v>48</v>
      </c>
      <c r="F11" s="16" t="s">
        <v>101</v>
      </c>
      <c r="G11" s="16" t="s">
        <v>39</v>
      </c>
      <c r="H11" s="14">
        <v>11.0</v>
      </c>
      <c r="I11" s="14">
        <v>6.0</v>
      </c>
      <c r="J11" s="16" t="s">
        <v>40</v>
      </c>
      <c r="K11" s="14">
        <v>80.0</v>
      </c>
      <c r="L11" s="16" t="s">
        <v>31</v>
      </c>
      <c r="M11" s="16" t="s">
        <v>51</v>
      </c>
      <c r="N11" s="16" t="s">
        <v>43</v>
      </c>
      <c r="O11" s="16" t="s">
        <v>116</v>
      </c>
      <c r="P11" s="16" t="s">
        <v>117</v>
      </c>
      <c r="Q11" s="20">
        <v>46219.0</v>
      </c>
      <c r="R11" s="16" t="s">
        <v>118</v>
      </c>
      <c r="S11" s="16" t="s">
        <v>119</v>
      </c>
      <c r="T11" s="19" t="str">
        <f t="shared" ref="T11:T301" si="2">IF(OR($D11="",$G11=""),"",IF(OR($D11="Bootstrapped",$D11="Unknown"),"Not benchmarked",IF($D11="Pre-seed/Seed","Seed",$D11)&amp;" | "&amp;IF($G11="Y","High-cost","Standard")))</f>
        <v>Series A | Standard</v>
      </c>
    </row>
    <row r="12">
      <c r="A12" s="16" t="s">
        <v>120</v>
      </c>
      <c r="B12" s="14">
        <v>35.0</v>
      </c>
      <c r="C12" s="15"/>
      <c r="D12" s="16" t="s">
        <v>27</v>
      </c>
      <c r="E12" s="16" t="s">
        <v>63</v>
      </c>
      <c r="F12" s="16" t="s">
        <v>87</v>
      </c>
      <c r="G12" s="16" t="s">
        <v>29</v>
      </c>
      <c r="H12" s="14">
        <v>14.0</v>
      </c>
      <c r="I12" s="14">
        <v>3.0</v>
      </c>
      <c r="J12" s="16" t="s">
        <v>40</v>
      </c>
      <c r="K12" s="14">
        <v>80.0</v>
      </c>
      <c r="L12" s="16" t="s">
        <v>59</v>
      </c>
      <c r="M12" s="16" t="s">
        <v>32</v>
      </c>
      <c r="N12" s="16" t="s">
        <v>43</v>
      </c>
      <c r="O12" s="16" t="s">
        <v>116</v>
      </c>
      <c r="P12" s="16" t="s">
        <v>117</v>
      </c>
      <c r="Q12" s="20">
        <v>46219.0</v>
      </c>
      <c r="R12" s="16" t="s">
        <v>118</v>
      </c>
      <c r="S12" s="16" t="s">
        <v>119</v>
      </c>
      <c r="T12" s="19" t="str">
        <f t="shared" si="2"/>
        <v>Seed | High-cost</v>
      </c>
    </row>
    <row r="13">
      <c r="A13" s="16" t="s">
        <v>121</v>
      </c>
      <c r="B13" s="14">
        <v>80.0</v>
      </c>
      <c r="C13" s="15"/>
      <c r="D13" s="16" t="s">
        <v>47</v>
      </c>
      <c r="E13" s="16" t="s">
        <v>57</v>
      </c>
      <c r="F13" s="16" t="s">
        <v>122</v>
      </c>
      <c r="G13" s="16" t="s">
        <v>39</v>
      </c>
      <c r="H13" s="14">
        <v>14.0</v>
      </c>
      <c r="I13" s="14">
        <v>6.0</v>
      </c>
      <c r="J13" s="16" t="s">
        <v>30</v>
      </c>
      <c r="K13" s="16"/>
      <c r="L13" s="16" t="s">
        <v>50</v>
      </c>
      <c r="M13" s="16" t="s">
        <v>32</v>
      </c>
      <c r="N13" s="16" t="s">
        <v>33</v>
      </c>
      <c r="O13" s="16" t="s">
        <v>116</v>
      </c>
      <c r="P13" s="16" t="s">
        <v>117</v>
      </c>
      <c r="Q13" s="20">
        <v>46219.0</v>
      </c>
      <c r="R13" s="16" t="s">
        <v>118</v>
      </c>
      <c r="S13" s="16" t="s">
        <v>119</v>
      </c>
      <c r="T13" s="19" t="str">
        <f t="shared" si="2"/>
        <v>Series B+ | Standard</v>
      </c>
    </row>
    <row r="14">
      <c r="A14" s="16" t="s">
        <v>123</v>
      </c>
      <c r="B14" s="14">
        <v>194.0</v>
      </c>
      <c r="C14" s="15"/>
      <c r="D14" s="16" t="s">
        <v>47</v>
      </c>
      <c r="E14" s="16" t="s">
        <v>48</v>
      </c>
      <c r="F14" s="16" t="s">
        <v>87</v>
      </c>
      <c r="G14" s="16" t="s">
        <v>29</v>
      </c>
      <c r="H14" s="14">
        <v>21.0</v>
      </c>
      <c r="I14" s="14">
        <v>11.0</v>
      </c>
      <c r="J14" s="16" t="s">
        <v>30</v>
      </c>
      <c r="K14" s="16"/>
      <c r="L14" s="16" t="s">
        <v>59</v>
      </c>
      <c r="M14" s="16" t="s">
        <v>32</v>
      </c>
      <c r="N14" s="16" t="s">
        <v>43</v>
      </c>
      <c r="O14" s="16" t="s">
        <v>116</v>
      </c>
      <c r="P14" s="16" t="s">
        <v>117</v>
      </c>
      <c r="Q14" s="20">
        <v>46219.0</v>
      </c>
      <c r="R14" s="16" t="s">
        <v>118</v>
      </c>
      <c r="S14" s="16" t="s">
        <v>119</v>
      </c>
      <c r="T14" s="19" t="str">
        <f t="shared" si="2"/>
        <v>Series B+ | High-cost</v>
      </c>
    </row>
    <row r="15">
      <c r="A15" s="16" t="s">
        <v>124</v>
      </c>
      <c r="B15" s="14">
        <v>132.0</v>
      </c>
      <c r="C15" s="15"/>
      <c r="D15" s="16" t="s">
        <v>47</v>
      </c>
      <c r="E15" s="16" t="s">
        <v>63</v>
      </c>
      <c r="F15" s="16" t="s">
        <v>101</v>
      </c>
      <c r="G15" s="16" t="s">
        <v>39</v>
      </c>
      <c r="H15" s="14">
        <v>21.0</v>
      </c>
      <c r="I15" s="14">
        <v>5.0</v>
      </c>
      <c r="J15" s="16" t="s">
        <v>30</v>
      </c>
      <c r="K15" s="16"/>
      <c r="L15" s="16" t="s">
        <v>41</v>
      </c>
      <c r="M15" s="16" t="s">
        <v>42</v>
      </c>
      <c r="N15" s="16" t="s">
        <v>60</v>
      </c>
      <c r="O15" s="16" t="s">
        <v>116</v>
      </c>
      <c r="P15" s="16" t="s">
        <v>117</v>
      </c>
      <c r="Q15" s="20">
        <v>46219.0</v>
      </c>
      <c r="R15" s="16" t="s">
        <v>118</v>
      </c>
      <c r="S15" s="16" t="s">
        <v>119</v>
      </c>
      <c r="T15" s="19" t="str">
        <f t="shared" si="2"/>
        <v>Series B+ | Standard</v>
      </c>
    </row>
    <row r="16">
      <c r="A16" s="16" t="s">
        <v>125</v>
      </c>
      <c r="B16" s="14">
        <v>137.0</v>
      </c>
      <c r="C16" s="15"/>
      <c r="D16" s="16" t="s">
        <v>47</v>
      </c>
      <c r="E16" s="16" t="s">
        <v>48</v>
      </c>
      <c r="F16" s="16" t="s">
        <v>126</v>
      </c>
      <c r="G16" s="16" t="s">
        <v>39</v>
      </c>
      <c r="H16" s="14">
        <v>20.0</v>
      </c>
      <c r="I16" s="14">
        <v>9.0</v>
      </c>
      <c r="J16" s="16" t="s">
        <v>30</v>
      </c>
      <c r="K16" s="16"/>
      <c r="L16" s="16" t="s">
        <v>50</v>
      </c>
      <c r="M16" s="16" t="s">
        <v>32</v>
      </c>
      <c r="N16" s="16" t="s">
        <v>52</v>
      </c>
      <c r="O16" s="16" t="s">
        <v>116</v>
      </c>
      <c r="P16" s="16" t="s">
        <v>117</v>
      </c>
      <c r="Q16" s="20">
        <v>46219.0</v>
      </c>
      <c r="R16" s="16" t="s">
        <v>118</v>
      </c>
      <c r="S16" s="16" t="s">
        <v>119</v>
      </c>
      <c r="T16" s="19" t="str">
        <f t="shared" si="2"/>
        <v>Series B+ | Standard</v>
      </c>
    </row>
    <row r="17">
      <c r="A17" s="16" t="s">
        <v>127</v>
      </c>
      <c r="B17" s="14">
        <v>36.0</v>
      </c>
      <c r="C17" s="15"/>
      <c r="D17" s="16" t="s">
        <v>37</v>
      </c>
      <c r="E17" s="16" t="s">
        <v>63</v>
      </c>
      <c r="F17" s="16" t="s">
        <v>101</v>
      </c>
      <c r="G17" s="16" t="s">
        <v>39</v>
      </c>
      <c r="H17" s="14">
        <v>10.0</v>
      </c>
      <c r="I17" s="14">
        <v>7.0</v>
      </c>
      <c r="J17" s="16" t="s">
        <v>30</v>
      </c>
      <c r="K17" s="16"/>
      <c r="L17" s="16" t="s">
        <v>41</v>
      </c>
      <c r="M17" s="16" t="s">
        <v>51</v>
      </c>
      <c r="N17" s="16" t="s">
        <v>33</v>
      </c>
      <c r="O17" s="16" t="s">
        <v>116</v>
      </c>
      <c r="P17" s="16" t="s">
        <v>117</v>
      </c>
      <c r="Q17" s="20">
        <v>46219.0</v>
      </c>
      <c r="R17" s="16" t="s">
        <v>118</v>
      </c>
      <c r="S17" s="16" t="s">
        <v>119</v>
      </c>
      <c r="T17" s="19" t="str">
        <f t="shared" si="2"/>
        <v>Series A | Standard</v>
      </c>
    </row>
    <row r="18">
      <c r="A18" s="16" t="s">
        <v>128</v>
      </c>
      <c r="B18" s="14">
        <v>5.0</v>
      </c>
      <c r="C18" s="15"/>
      <c r="D18" s="16" t="s">
        <v>27</v>
      </c>
      <c r="E18" s="16" t="s">
        <v>48</v>
      </c>
      <c r="F18" s="16" t="s">
        <v>129</v>
      </c>
      <c r="G18" s="16" t="s">
        <v>39</v>
      </c>
      <c r="H18" s="14">
        <v>10.0</v>
      </c>
      <c r="I18" s="14">
        <v>2.0</v>
      </c>
      <c r="J18" s="16" t="s">
        <v>30</v>
      </c>
      <c r="K18" s="16"/>
      <c r="L18" s="16" t="s">
        <v>50</v>
      </c>
      <c r="M18" s="16" t="s">
        <v>32</v>
      </c>
      <c r="N18" s="16" t="s">
        <v>52</v>
      </c>
      <c r="O18" s="16" t="s">
        <v>116</v>
      </c>
      <c r="P18" s="16" t="s">
        <v>117</v>
      </c>
      <c r="Q18" s="20">
        <v>46219.0</v>
      </c>
      <c r="R18" s="16" t="s">
        <v>118</v>
      </c>
      <c r="S18" s="16" t="s">
        <v>119</v>
      </c>
      <c r="T18" s="19" t="str">
        <f t="shared" si="2"/>
        <v>Seed | Standard</v>
      </c>
    </row>
    <row r="19">
      <c r="A19" s="16" t="s">
        <v>130</v>
      </c>
      <c r="B19" s="14">
        <v>11.0</v>
      </c>
      <c r="C19" s="15"/>
      <c r="D19" s="16" t="s">
        <v>27</v>
      </c>
      <c r="E19" s="16" t="s">
        <v>38</v>
      </c>
      <c r="F19" s="16" t="s">
        <v>131</v>
      </c>
      <c r="G19" s="16" t="s">
        <v>39</v>
      </c>
      <c r="H19" s="14">
        <v>14.0</v>
      </c>
      <c r="I19" s="14">
        <v>4.0</v>
      </c>
      <c r="J19" s="16" t="s">
        <v>40</v>
      </c>
      <c r="K19" s="14">
        <v>75.0</v>
      </c>
      <c r="L19" s="16" t="s">
        <v>59</v>
      </c>
      <c r="M19" s="16" t="s">
        <v>42</v>
      </c>
      <c r="N19" s="16" t="s">
        <v>33</v>
      </c>
      <c r="O19" s="16" t="s">
        <v>116</v>
      </c>
      <c r="P19" s="16" t="s">
        <v>117</v>
      </c>
      <c r="Q19" s="20">
        <v>46219.0</v>
      </c>
      <c r="R19" s="16" t="s">
        <v>118</v>
      </c>
      <c r="S19" s="16" t="s">
        <v>119</v>
      </c>
      <c r="T19" s="19" t="str">
        <f t="shared" si="2"/>
        <v>Seed | Standard</v>
      </c>
    </row>
    <row r="20">
      <c r="A20" s="16" t="s">
        <v>132</v>
      </c>
      <c r="B20" s="14">
        <v>21.0</v>
      </c>
      <c r="C20" s="15"/>
      <c r="D20" s="16" t="s">
        <v>37</v>
      </c>
      <c r="E20" s="16" t="s">
        <v>28</v>
      </c>
      <c r="F20" s="16" t="s">
        <v>133</v>
      </c>
      <c r="G20" s="16" t="s">
        <v>29</v>
      </c>
      <c r="H20" s="14">
        <v>18.0</v>
      </c>
      <c r="I20" s="14">
        <v>6.0</v>
      </c>
      <c r="J20" s="16" t="s">
        <v>40</v>
      </c>
      <c r="K20" s="14">
        <v>75.0</v>
      </c>
      <c r="L20" s="16" t="s">
        <v>31</v>
      </c>
      <c r="M20" s="16" t="s">
        <v>42</v>
      </c>
      <c r="N20" s="16" t="s">
        <v>33</v>
      </c>
      <c r="O20" s="16" t="s">
        <v>116</v>
      </c>
      <c r="P20" s="16" t="s">
        <v>117</v>
      </c>
      <c r="Q20" s="20">
        <v>46219.0</v>
      </c>
      <c r="R20" s="16" t="s">
        <v>118</v>
      </c>
      <c r="S20" s="16" t="s">
        <v>119</v>
      </c>
      <c r="T20" s="19" t="str">
        <f t="shared" si="2"/>
        <v>Series A | High-cost</v>
      </c>
    </row>
    <row r="21" ht="15.75" customHeight="1">
      <c r="A21" s="16" t="s">
        <v>134</v>
      </c>
      <c r="B21" s="14">
        <v>38.0</v>
      </c>
      <c r="C21" s="15"/>
      <c r="D21" s="16" t="s">
        <v>27</v>
      </c>
      <c r="E21" s="16" t="s">
        <v>28</v>
      </c>
      <c r="F21" s="16" t="s">
        <v>83</v>
      </c>
      <c r="G21" s="16" t="s">
        <v>29</v>
      </c>
      <c r="H21" s="14">
        <v>14.0</v>
      </c>
      <c r="I21" s="14">
        <v>8.0</v>
      </c>
      <c r="J21" s="16" t="s">
        <v>30</v>
      </c>
      <c r="K21" s="16"/>
      <c r="L21" s="16" t="s">
        <v>50</v>
      </c>
      <c r="M21" s="16" t="s">
        <v>32</v>
      </c>
      <c r="N21" s="16" t="s">
        <v>33</v>
      </c>
      <c r="O21" s="16" t="s">
        <v>116</v>
      </c>
      <c r="P21" s="16" t="s">
        <v>117</v>
      </c>
      <c r="Q21" s="20">
        <v>46219.0</v>
      </c>
      <c r="R21" s="16" t="s">
        <v>118</v>
      </c>
      <c r="S21" s="16" t="s">
        <v>119</v>
      </c>
      <c r="T21" s="19" t="str">
        <f t="shared" si="2"/>
        <v>Seed | High-cost</v>
      </c>
    </row>
    <row r="22" ht="15.75" customHeight="1">
      <c r="A22" s="16" t="s">
        <v>135</v>
      </c>
      <c r="B22" s="14">
        <v>19.0</v>
      </c>
      <c r="C22" s="15"/>
      <c r="D22" s="16" t="s">
        <v>27</v>
      </c>
      <c r="E22" s="16" t="s">
        <v>63</v>
      </c>
      <c r="F22" s="16" t="s">
        <v>133</v>
      </c>
      <c r="G22" s="16" t="s">
        <v>29</v>
      </c>
      <c r="H22" s="14">
        <v>14.0</v>
      </c>
      <c r="I22" s="14">
        <v>2.0</v>
      </c>
      <c r="J22" s="16" t="s">
        <v>49</v>
      </c>
      <c r="K22" s="16"/>
      <c r="L22" s="16" t="s">
        <v>50</v>
      </c>
      <c r="M22" s="16" t="s">
        <v>51</v>
      </c>
      <c r="N22" s="16" t="s">
        <v>43</v>
      </c>
      <c r="O22" s="16" t="s">
        <v>116</v>
      </c>
      <c r="P22" s="16" t="s">
        <v>117</v>
      </c>
      <c r="Q22" s="20">
        <v>46219.0</v>
      </c>
      <c r="R22" s="16" t="s">
        <v>118</v>
      </c>
      <c r="S22" s="16" t="s">
        <v>119</v>
      </c>
      <c r="T22" s="19" t="str">
        <f t="shared" si="2"/>
        <v>Seed | High-cost</v>
      </c>
    </row>
    <row r="23" ht="15.75" customHeight="1">
      <c r="A23" s="16" t="s">
        <v>136</v>
      </c>
      <c r="B23" s="14">
        <v>35.0</v>
      </c>
      <c r="C23" s="15"/>
      <c r="D23" s="16" t="s">
        <v>37</v>
      </c>
      <c r="E23" s="16" t="s">
        <v>63</v>
      </c>
      <c r="F23" s="16" t="s">
        <v>131</v>
      </c>
      <c r="G23" s="16" t="s">
        <v>39</v>
      </c>
      <c r="H23" s="14">
        <v>8.0</v>
      </c>
      <c r="I23" s="14">
        <v>8.0</v>
      </c>
      <c r="J23" s="16" t="s">
        <v>30</v>
      </c>
      <c r="K23" s="16"/>
      <c r="L23" s="16" t="s">
        <v>31</v>
      </c>
      <c r="M23" s="16" t="s">
        <v>32</v>
      </c>
      <c r="N23" s="16" t="s">
        <v>60</v>
      </c>
      <c r="O23" s="16" t="s">
        <v>116</v>
      </c>
      <c r="P23" s="16" t="s">
        <v>117</v>
      </c>
      <c r="Q23" s="20">
        <v>46219.0</v>
      </c>
      <c r="R23" s="16" t="s">
        <v>118</v>
      </c>
      <c r="S23" s="16" t="s">
        <v>119</v>
      </c>
      <c r="T23" s="19" t="str">
        <f t="shared" si="2"/>
        <v>Series A | Standard</v>
      </c>
    </row>
    <row r="24" ht="15.75" customHeight="1">
      <c r="A24" s="16" t="s">
        <v>137</v>
      </c>
      <c r="B24" s="14">
        <v>18.0</v>
      </c>
      <c r="C24" s="15"/>
      <c r="D24" s="16" t="s">
        <v>27</v>
      </c>
      <c r="E24" s="16" t="s">
        <v>63</v>
      </c>
      <c r="F24" s="16" t="s">
        <v>83</v>
      </c>
      <c r="G24" s="16" t="s">
        <v>29</v>
      </c>
      <c r="H24" s="14">
        <v>7.0</v>
      </c>
      <c r="I24" s="14">
        <v>7.0</v>
      </c>
      <c r="J24" s="16" t="s">
        <v>30</v>
      </c>
      <c r="K24" s="16"/>
      <c r="L24" s="16" t="s">
        <v>31</v>
      </c>
      <c r="M24" s="16" t="s">
        <v>51</v>
      </c>
      <c r="N24" s="16" t="s">
        <v>52</v>
      </c>
      <c r="O24" s="16" t="s">
        <v>116</v>
      </c>
      <c r="P24" s="16" t="s">
        <v>117</v>
      </c>
      <c r="Q24" s="20">
        <v>46219.0</v>
      </c>
      <c r="R24" s="16" t="s">
        <v>118</v>
      </c>
      <c r="S24" s="16" t="s">
        <v>119</v>
      </c>
      <c r="T24" s="19" t="str">
        <f t="shared" si="2"/>
        <v>Seed | High-cost</v>
      </c>
    </row>
    <row r="25" ht="15.75" customHeight="1">
      <c r="A25" s="16" t="s">
        <v>138</v>
      </c>
      <c r="B25" s="14">
        <v>82.0</v>
      </c>
      <c r="C25" s="15"/>
      <c r="D25" s="16" t="s">
        <v>47</v>
      </c>
      <c r="E25" s="16" t="s">
        <v>48</v>
      </c>
      <c r="F25" s="16" t="s">
        <v>131</v>
      </c>
      <c r="G25" s="16" t="s">
        <v>39</v>
      </c>
      <c r="H25" s="14">
        <v>23.0</v>
      </c>
      <c r="I25" s="14">
        <v>13.0</v>
      </c>
      <c r="J25" s="16" t="s">
        <v>30</v>
      </c>
      <c r="K25" s="16"/>
      <c r="L25" s="16" t="s">
        <v>41</v>
      </c>
      <c r="M25" s="16" t="s">
        <v>51</v>
      </c>
      <c r="N25" s="16" t="s">
        <v>52</v>
      </c>
      <c r="O25" s="16" t="s">
        <v>116</v>
      </c>
      <c r="P25" s="16" t="s">
        <v>117</v>
      </c>
      <c r="Q25" s="20">
        <v>46219.0</v>
      </c>
      <c r="R25" s="16" t="s">
        <v>118</v>
      </c>
      <c r="S25" s="16" t="s">
        <v>119</v>
      </c>
      <c r="T25" s="19" t="str">
        <f t="shared" si="2"/>
        <v>Series B+ | Standard</v>
      </c>
    </row>
    <row r="26" ht="15.75" customHeight="1">
      <c r="A26" s="16" t="s">
        <v>139</v>
      </c>
      <c r="B26" s="14">
        <v>142.0</v>
      </c>
      <c r="C26" s="15"/>
      <c r="D26" s="16" t="s">
        <v>47</v>
      </c>
      <c r="E26" s="16" t="s">
        <v>48</v>
      </c>
      <c r="F26" s="16" t="s">
        <v>126</v>
      </c>
      <c r="G26" s="16" t="s">
        <v>39</v>
      </c>
      <c r="H26" s="14">
        <v>24.0</v>
      </c>
      <c r="I26" s="14">
        <v>12.0</v>
      </c>
      <c r="J26" s="16" t="s">
        <v>30</v>
      </c>
      <c r="K26" s="16"/>
      <c r="L26" s="16" t="s">
        <v>41</v>
      </c>
      <c r="M26" s="16" t="s">
        <v>32</v>
      </c>
      <c r="N26" s="16" t="s">
        <v>33</v>
      </c>
      <c r="O26" s="16" t="s">
        <v>116</v>
      </c>
      <c r="P26" s="16" t="s">
        <v>117</v>
      </c>
      <c r="Q26" s="20">
        <v>46219.0</v>
      </c>
      <c r="R26" s="16" t="s">
        <v>118</v>
      </c>
      <c r="S26" s="16" t="s">
        <v>119</v>
      </c>
      <c r="T26" s="19" t="str">
        <f t="shared" si="2"/>
        <v>Series B+ | Standard</v>
      </c>
    </row>
    <row r="27" ht="15.75" customHeight="1">
      <c r="A27" s="16" t="s">
        <v>140</v>
      </c>
      <c r="B27" s="14">
        <v>90.0</v>
      </c>
      <c r="C27" s="15"/>
      <c r="D27" s="16" t="s">
        <v>37</v>
      </c>
      <c r="E27" s="16" t="s">
        <v>38</v>
      </c>
      <c r="F27" s="16" t="s">
        <v>87</v>
      </c>
      <c r="G27" s="16" t="s">
        <v>29</v>
      </c>
      <c r="H27" s="14">
        <v>9.0</v>
      </c>
      <c r="I27" s="14">
        <v>9.0</v>
      </c>
      <c r="J27" s="16" t="s">
        <v>40</v>
      </c>
      <c r="K27" s="14">
        <v>60.0</v>
      </c>
      <c r="L27" s="16" t="s">
        <v>31</v>
      </c>
      <c r="M27" s="16" t="s">
        <v>32</v>
      </c>
      <c r="N27" s="16" t="s">
        <v>60</v>
      </c>
      <c r="O27" s="16" t="s">
        <v>116</v>
      </c>
      <c r="P27" s="16" t="s">
        <v>117</v>
      </c>
      <c r="Q27" s="20">
        <v>46219.0</v>
      </c>
      <c r="R27" s="16" t="s">
        <v>118</v>
      </c>
      <c r="S27" s="16" t="s">
        <v>119</v>
      </c>
      <c r="T27" s="19" t="str">
        <f t="shared" si="2"/>
        <v>Series A | High-cost</v>
      </c>
    </row>
    <row r="28" ht="15.75" customHeight="1">
      <c r="A28" s="16" t="s">
        <v>141</v>
      </c>
      <c r="B28" s="14">
        <v>34.0</v>
      </c>
      <c r="C28" s="15"/>
      <c r="D28" s="16" t="s">
        <v>27</v>
      </c>
      <c r="E28" s="16" t="s">
        <v>38</v>
      </c>
      <c r="F28" s="16" t="s">
        <v>131</v>
      </c>
      <c r="G28" s="16" t="s">
        <v>39</v>
      </c>
      <c r="H28" s="14">
        <v>8.0</v>
      </c>
      <c r="I28" s="14">
        <v>7.0</v>
      </c>
      <c r="J28" s="16" t="s">
        <v>49</v>
      </c>
      <c r="K28" s="16"/>
      <c r="L28" s="16" t="s">
        <v>59</v>
      </c>
      <c r="M28" s="16" t="s">
        <v>32</v>
      </c>
      <c r="N28" s="16" t="s">
        <v>52</v>
      </c>
      <c r="O28" s="16" t="s">
        <v>116</v>
      </c>
      <c r="P28" s="16" t="s">
        <v>117</v>
      </c>
      <c r="Q28" s="20">
        <v>46219.0</v>
      </c>
      <c r="R28" s="16" t="s">
        <v>118</v>
      </c>
      <c r="S28" s="16" t="s">
        <v>119</v>
      </c>
      <c r="T28" s="19" t="str">
        <f t="shared" si="2"/>
        <v>Seed | Standard</v>
      </c>
    </row>
    <row r="29" ht="15.75" customHeight="1">
      <c r="A29" s="16" t="s">
        <v>142</v>
      </c>
      <c r="B29" s="14">
        <v>9.0</v>
      </c>
      <c r="C29" s="15"/>
      <c r="D29" s="16" t="s">
        <v>27</v>
      </c>
      <c r="E29" s="16" t="s">
        <v>57</v>
      </c>
      <c r="F29" s="16" t="s">
        <v>122</v>
      </c>
      <c r="G29" s="16" t="s">
        <v>39</v>
      </c>
      <c r="H29" s="14">
        <v>12.0</v>
      </c>
      <c r="I29" s="14">
        <v>5.0</v>
      </c>
      <c r="J29" s="16" t="s">
        <v>30</v>
      </c>
      <c r="K29" s="16"/>
      <c r="L29" s="16" t="s">
        <v>31</v>
      </c>
      <c r="M29" s="16" t="s">
        <v>51</v>
      </c>
      <c r="N29" s="16" t="s">
        <v>52</v>
      </c>
      <c r="O29" s="16" t="s">
        <v>116</v>
      </c>
      <c r="P29" s="16" t="s">
        <v>117</v>
      </c>
      <c r="Q29" s="20">
        <v>46219.0</v>
      </c>
      <c r="R29" s="16" t="s">
        <v>118</v>
      </c>
      <c r="S29" s="16" t="s">
        <v>119</v>
      </c>
      <c r="T29" s="19" t="str">
        <f t="shared" si="2"/>
        <v>Seed | Standard</v>
      </c>
    </row>
    <row r="30" ht="15.75" customHeight="1">
      <c r="A30" s="16" t="s">
        <v>143</v>
      </c>
      <c r="B30" s="14">
        <v>24.0</v>
      </c>
      <c r="C30" s="15"/>
      <c r="D30" s="16" t="s">
        <v>27</v>
      </c>
      <c r="E30" s="16" t="s">
        <v>28</v>
      </c>
      <c r="F30" s="16" t="s">
        <v>101</v>
      </c>
      <c r="G30" s="16" t="s">
        <v>39</v>
      </c>
      <c r="H30" s="14">
        <v>9.0</v>
      </c>
      <c r="I30" s="14">
        <v>3.0</v>
      </c>
      <c r="J30" s="16" t="s">
        <v>30</v>
      </c>
      <c r="K30" s="16"/>
      <c r="L30" s="16" t="s">
        <v>41</v>
      </c>
      <c r="M30" s="16" t="s">
        <v>42</v>
      </c>
      <c r="N30" s="16" t="s">
        <v>33</v>
      </c>
      <c r="O30" s="16" t="s">
        <v>116</v>
      </c>
      <c r="P30" s="16" t="s">
        <v>117</v>
      </c>
      <c r="Q30" s="20">
        <v>46219.0</v>
      </c>
      <c r="R30" s="16" t="s">
        <v>118</v>
      </c>
      <c r="S30" s="16" t="s">
        <v>119</v>
      </c>
      <c r="T30" s="19" t="str">
        <f t="shared" si="2"/>
        <v>Seed | Standard</v>
      </c>
    </row>
    <row r="31" ht="15.75" customHeight="1">
      <c r="A31" s="16" t="s">
        <v>144</v>
      </c>
      <c r="B31" s="14">
        <v>59.0</v>
      </c>
      <c r="C31" s="15"/>
      <c r="D31" s="16" t="s">
        <v>47</v>
      </c>
      <c r="E31" s="16" t="s">
        <v>57</v>
      </c>
      <c r="F31" s="16" t="s">
        <v>131</v>
      </c>
      <c r="G31" s="16" t="s">
        <v>39</v>
      </c>
      <c r="H31" s="14">
        <v>11.0</v>
      </c>
      <c r="I31" s="14">
        <v>4.0</v>
      </c>
      <c r="J31" s="16" t="s">
        <v>40</v>
      </c>
      <c r="K31" s="14">
        <v>80.0</v>
      </c>
      <c r="L31" s="16" t="s">
        <v>31</v>
      </c>
      <c r="M31" s="16" t="s">
        <v>32</v>
      </c>
      <c r="N31" s="16" t="s">
        <v>60</v>
      </c>
      <c r="O31" s="16" t="s">
        <v>116</v>
      </c>
      <c r="P31" s="16" t="s">
        <v>117</v>
      </c>
      <c r="Q31" s="20">
        <v>46219.0</v>
      </c>
      <c r="R31" s="16" t="s">
        <v>118</v>
      </c>
      <c r="S31" s="16" t="s">
        <v>119</v>
      </c>
      <c r="T31" s="19" t="str">
        <f t="shared" si="2"/>
        <v>Series B+ | Standard</v>
      </c>
    </row>
    <row r="32" ht="15.75" customHeight="1">
      <c r="A32" s="16" t="s">
        <v>145</v>
      </c>
      <c r="B32" s="14">
        <v>42.0</v>
      </c>
      <c r="C32" s="15"/>
      <c r="D32" s="16" t="s">
        <v>37</v>
      </c>
      <c r="E32" s="16" t="s">
        <v>57</v>
      </c>
      <c r="F32" s="16" t="s">
        <v>87</v>
      </c>
      <c r="G32" s="16" t="s">
        <v>29</v>
      </c>
      <c r="H32" s="14">
        <v>10.0</v>
      </c>
      <c r="I32" s="14">
        <v>7.0</v>
      </c>
      <c r="J32" s="16" t="s">
        <v>30</v>
      </c>
      <c r="K32" s="16"/>
      <c r="L32" s="16" t="s">
        <v>59</v>
      </c>
      <c r="M32" s="16" t="s">
        <v>42</v>
      </c>
      <c r="N32" s="16" t="s">
        <v>60</v>
      </c>
      <c r="O32" s="16" t="s">
        <v>116</v>
      </c>
      <c r="P32" s="16" t="s">
        <v>117</v>
      </c>
      <c r="Q32" s="20">
        <v>46219.0</v>
      </c>
      <c r="R32" s="16" t="s">
        <v>118</v>
      </c>
      <c r="S32" s="16" t="s">
        <v>119</v>
      </c>
      <c r="T32" s="19" t="str">
        <f t="shared" si="2"/>
        <v>Series A | High-cost</v>
      </c>
    </row>
    <row r="33" ht="15.75" customHeight="1">
      <c r="A33" s="16" t="s">
        <v>146</v>
      </c>
      <c r="B33" s="14">
        <v>38.0</v>
      </c>
      <c r="C33" s="15"/>
      <c r="D33" s="16" t="s">
        <v>27</v>
      </c>
      <c r="E33" s="16" t="s">
        <v>57</v>
      </c>
      <c r="F33" s="16" t="s">
        <v>133</v>
      </c>
      <c r="G33" s="16" t="s">
        <v>29</v>
      </c>
      <c r="H33" s="14">
        <v>9.0</v>
      </c>
      <c r="I33" s="14">
        <v>4.0</v>
      </c>
      <c r="J33" s="16" t="s">
        <v>30</v>
      </c>
      <c r="K33" s="16"/>
      <c r="L33" s="16" t="s">
        <v>31</v>
      </c>
      <c r="M33" s="16" t="s">
        <v>51</v>
      </c>
      <c r="N33" s="16" t="s">
        <v>52</v>
      </c>
      <c r="O33" s="16" t="s">
        <v>116</v>
      </c>
      <c r="P33" s="16" t="s">
        <v>117</v>
      </c>
      <c r="Q33" s="20">
        <v>46219.0</v>
      </c>
      <c r="R33" s="16" t="s">
        <v>118</v>
      </c>
      <c r="S33" s="16" t="s">
        <v>119</v>
      </c>
      <c r="T33" s="19" t="str">
        <f t="shared" si="2"/>
        <v>Seed | High-cost</v>
      </c>
    </row>
    <row r="34" ht="15.75" customHeight="1">
      <c r="A34" s="16" t="s">
        <v>147</v>
      </c>
      <c r="B34" s="14">
        <v>40.0</v>
      </c>
      <c r="C34" s="15"/>
      <c r="D34" s="16" t="s">
        <v>27</v>
      </c>
      <c r="E34" s="16" t="s">
        <v>57</v>
      </c>
      <c r="F34" s="16" t="s">
        <v>131</v>
      </c>
      <c r="G34" s="16" t="s">
        <v>39</v>
      </c>
      <c r="H34" s="14">
        <v>14.0</v>
      </c>
      <c r="I34" s="14">
        <v>3.0</v>
      </c>
      <c r="J34" s="16" t="s">
        <v>30</v>
      </c>
      <c r="K34" s="16"/>
      <c r="L34" s="16" t="s">
        <v>31</v>
      </c>
      <c r="M34" s="16" t="s">
        <v>32</v>
      </c>
      <c r="N34" s="16" t="s">
        <v>33</v>
      </c>
      <c r="O34" s="16" t="s">
        <v>116</v>
      </c>
      <c r="P34" s="16" t="s">
        <v>117</v>
      </c>
      <c r="Q34" s="20">
        <v>46219.0</v>
      </c>
      <c r="R34" s="16" t="s">
        <v>118</v>
      </c>
      <c r="S34" s="16" t="s">
        <v>119</v>
      </c>
      <c r="T34" s="19" t="str">
        <f t="shared" si="2"/>
        <v>Seed | Standard</v>
      </c>
    </row>
    <row r="35" ht="15.75" customHeight="1">
      <c r="A35" s="16" t="s">
        <v>148</v>
      </c>
      <c r="B35" s="14">
        <v>87.0</v>
      </c>
      <c r="C35" s="15"/>
      <c r="D35" s="16" t="s">
        <v>37</v>
      </c>
      <c r="E35" s="16" t="s">
        <v>38</v>
      </c>
      <c r="F35" s="16" t="s">
        <v>149</v>
      </c>
      <c r="G35" s="16" t="s">
        <v>39</v>
      </c>
      <c r="H35" s="14">
        <v>17.0</v>
      </c>
      <c r="I35" s="14">
        <v>4.0</v>
      </c>
      <c r="J35" s="16" t="s">
        <v>40</v>
      </c>
      <c r="K35" s="14">
        <v>75.0</v>
      </c>
      <c r="L35" s="16" t="s">
        <v>50</v>
      </c>
      <c r="M35" s="16" t="s">
        <v>42</v>
      </c>
      <c r="N35" s="16" t="s">
        <v>33</v>
      </c>
      <c r="O35" s="16" t="s">
        <v>116</v>
      </c>
      <c r="P35" s="16" t="s">
        <v>117</v>
      </c>
      <c r="Q35" s="20">
        <v>46219.0</v>
      </c>
      <c r="R35" s="16" t="s">
        <v>118</v>
      </c>
      <c r="S35" s="16" t="s">
        <v>119</v>
      </c>
      <c r="T35" s="19" t="str">
        <f t="shared" si="2"/>
        <v>Series A | Standard</v>
      </c>
    </row>
    <row r="36" ht="15.75" customHeight="1">
      <c r="A36" s="16" t="s">
        <v>150</v>
      </c>
      <c r="B36" s="14">
        <v>28.0</v>
      </c>
      <c r="C36" s="15"/>
      <c r="D36" s="16" t="s">
        <v>27</v>
      </c>
      <c r="E36" s="16" t="s">
        <v>38</v>
      </c>
      <c r="F36" s="16" t="s">
        <v>91</v>
      </c>
      <c r="G36" s="16" t="s">
        <v>39</v>
      </c>
      <c r="H36" s="14">
        <v>13.0</v>
      </c>
      <c r="I36" s="14">
        <v>4.0</v>
      </c>
      <c r="J36" s="16" t="s">
        <v>49</v>
      </c>
      <c r="K36" s="16"/>
      <c r="L36" s="16" t="s">
        <v>31</v>
      </c>
      <c r="M36" s="16" t="s">
        <v>32</v>
      </c>
      <c r="N36" s="16" t="s">
        <v>43</v>
      </c>
      <c r="O36" s="16" t="s">
        <v>116</v>
      </c>
      <c r="P36" s="16" t="s">
        <v>117</v>
      </c>
      <c r="Q36" s="20">
        <v>46219.0</v>
      </c>
      <c r="R36" s="16" t="s">
        <v>118</v>
      </c>
      <c r="S36" s="16" t="s">
        <v>119</v>
      </c>
      <c r="T36" s="19" t="str">
        <f t="shared" si="2"/>
        <v>Seed | Standard</v>
      </c>
    </row>
    <row r="37" ht="15.75" customHeight="1">
      <c r="A37" s="16" t="s">
        <v>151</v>
      </c>
      <c r="B37" s="14">
        <v>16.0</v>
      </c>
      <c r="C37" s="15"/>
      <c r="D37" s="16" t="s">
        <v>27</v>
      </c>
      <c r="E37" s="16" t="s">
        <v>63</v>
      </c>
      <c r="F37" s="16" t="s">
        <v>91</v>
      </c>
      <c r="G37" s="16" t="s">
        <v>39</v>
      </c>
      <c r="H37" s="14">
        <v>8.0</v>
      </c>
      <c r="I37" s="14">
        <v>4.0</v>
      </c>
      <c r="J37" s="16" t="s">
        <v>49</v>
      </c>
      <c r="K37" s="16"/>
      <c r="L37" s="16" t="s">
        <v>41</v>
      </c>
      <c r="M37" s="16" t="s">
        <v>42</v>
      </c>
      <c r="N37" s="16" t="s">
        <v>33</v>
      </c>
      <c r="O37" s="16" t="s">
        <v>116</v>
      </c>
      <c r="P37" s="16" t="s">
        <v>117</v>
      </c>
      <c r="Q37" s="20">
        <v>46219.0</v>
      </c>
      <c r="R37" s="16" t="s">
        <v>118</v>
      </c>
      <c r="S37" s="16" t="s">
        <v>119</v>
      </c>
      <c r="T37" s="19" t="str">
        <f t="shared" si="2"/>
        <v>Seed | Standard</v>
      </c>
    </row>
    <row r="38" ht="15.75" customHeight="1">
      <c r="A38" s="16" t="s">
        <v>152</v>
      </c>
      <c r="B38" s="14">
        <v>196.0</v>
      </c>
      <c r="C38" s="15"/>
      <c r="D38" s="16" t="s">
        <v>47</v>
      </c>
      <c r="E38" s="16" t="s">
        <v>63</v>
      </c>
      <c r="F38" s="16" t="s">
        <v>87</v>
      </c>
      <c r="G38" s="16" t="s">
        <v>29</v>
      </c>
      <c r="H38" s="14">
        <v>20.0</v>
      </c>
      <c r="I38" s="14">
        <v>12.0</v>
      </c>
      <c r="J38" s="16" t="s">
        <v>30</v>
      </c>
      <c r="K38" s="16"/>
      <c r="L38" s="16" t="s">
        <v>31</v>
      </c>
      <c r="M38" s="16" t="s">
        <v>32</v>
      </c>
      <c r="N38" s="16" t="s">
        <v>33</v>
      </c>
      <c r="O38" s="16" t="s">
        <v>116</v>
      </c>
      <c r="P38" s="16" t="s">
        <v>117</v>
      </c>
      <c r="Q38" s="20">
        <v>46219.0</v>
      </c>
      <c r="R38" s="16" t="s">
        <v>118</v>
      </c>
      <c r="S38" s="16" t="s">
        <v>119</v>
      </c>
      <c r="T38" s="19" t="str">
        <f t="shared" si="2"/>
        <v>Series B+ | High-cost</v>
      </c>
    </row>
    <row r="39" ht="15.75" customHeight="1">
      <c r="A39" s="16" t="s">
        <v>153</v>
      </c>
      <c r="B39" s="14">
        <v>79.0</v>
      </c>
      <c r="C39" s="15"/>
      <c r="D39" s="16" t="s">
        <v>47</v>
      </c>
      <c r="E39" s="16" t="s">
        <v>48</v>
      </c>
      <c r="F39" s="16" t="s">
        <v>91</v>
      </c>
      <c r="G39" s="16" t="s">
        <v>39</v>
      </c>
      <c r="H39" s="14">
        <v>19.0</v>
      </c>
      <c r="I39" s="14">
        <v>7.0</v>
      </c>
      <c r="J39" s="16" t="s">
        <v>40</v>
      </c>
      <c r="K39" s="14">
        <v>60.0</v>
      </c>
      <c r="L39" s="16" t="s">
        <v>50</v>
      </c>
      <c r="M39" s="16" t="s">
        <v>51</v>
      </c>
      <c r="N39" s="16" t="s">
        <v>43</v>
      </c>
      <c r="O39" s="16" t="s">
        <v>116</v>
      </c>
      <c r="P39" s="16" t="s">
        <v>117</v>
      </c>
      <c r="Q39" s="20">
        <v>46219.0</v>
      </c>
      <c r="R39" s="16" t="s">
        <v>118</v>
      </c>
      <c r="S39" s="16" t="s">
        <v>119</v>
      </c>
      <c r="T39" s="19" t="str">
        <f t="shared" si="2"/>
        <v>Series B+ | Standard</v>
      </c>
    </row>
    <row r="40" ht="15.75" customHeight="1">
      <c r="A40" s="16" t="s">
        <v>154</v>
      </c>
      <c r="B40" s="14">
        <v>30.0</v>
      </c>
      <c r="C40" s="15"/>
      <c r="D40" s="16" t="s">
        <v>27</v>
      </c>
      <c r="E40" s="16" t="s">
        <v>48</v>
      </c>
      <c r="F40" s="16" t="s">
        <v>87</v>
      </c>
      <c r="G40" s="16" t="s">
        <v>29</v>
      </c>
      <c r="H40" s="14">
        <v>6.0</v>
      </c>
      <c r="I40" s="14">
        <v>4.0</v>
      </c>
      <c r="J40" s="16" t="s">
        <v>40</v>
      </c>
      <c r="K40" s="14">
        <v>70.0</v>
      </c>
      <c r="L40" s="16" t="s">
        <v>41</v>
      </c>
      <c r="M40" s="16" t="s">
        <v>51</v>
      </c>
      <c r="N40" s="16" t="s">
        <v>43</v>
      </c>
      <c r="O40" s="16" t="s">
        <v>116</v>
      </c>
      <c r="P40" s="16" t="s">
        <v>117</v>
      </c>
      <c r="Q40" s="20">
        <v>46219.0</v>
      </c>
      <c r="R40" s="16" t="s">
        <v>118</v>
      </c>
      <c r="S40" s="16" t="s">
        <v>119</v>
      </c>
      <c r="T40" s="19" t="str">
        <f t="shared" si="2"/>
        <v>Seed | High-cost</v>
      </c>
    </row>
    <row r="41" ht="15.75" customHeight="1">
      <c r="A41" s="16" t="s">
        <v>155</v>
      </c>
      <c r="B41" s="14">
        <v>29.0</v>
      </c>
      <c r="C41" s="15"/>
      <c r="D41" s="16" t="s">
        <v>37</v>
      </c>
      <c r="E41" s="16" t="s">
        <v>28</v>
      </c>
      <c r="F41" s="16" t="s">
        <v>133</v>
      </c>
      <c r="G41" s="16" t="s">
        <v>29</v>
      </c>
      <c r="H41" s="14">
        <v>16.0</v>
      </c>
      <c r="I41" s="14">
        <v>4.0</v>
      </c>
      <c r="J41" s="16" t="s">
        <v>49</v>
      </c>
      <c r="K41" s="16"/>
      <c r="L41" s="16" t="s">
        <v>41</v>
      </c>
      <c r="M41" s="16" t="s">
        <v>42</v>
      </c>
      <c r="N41" s="16" t="s">
        <v>33</v>
      </c>
      <c r="O41" s="16" t="s">
        <v>116</v>
      </c>
      <c r="P41" s="16" t="s">
        <v>117</v>
      </c>
      <c r="Q41" s="20">
        <v>46219.0</v>
      </c>
      <c r="R41" s="16" t="s">
        <v>118</v>
      </c>
      <c r="S41" s="16" t="s">
        <v>119</v>
      </c>
      <c r="T41" s="19" t="str">
        <f t="shared" si="2"/>
        <v>Series A | High-cost</v>
      </c>
    </row>
    <row r="42" ht="15.75" customHeight="1">
      <c r="A42" s="16" t="s">
        <v>156</v>
      </c>
      <c r="B42" s="14">
        <v>50.0</v>
      </c>
      <c r="C42" s="15"/>
      <c r="D42" s="16" t="s">
        <v>47</v>
      </c>
      <c r="E42" s="16" t="s">
        <v>48</v>
      </c>
      <c r="F42" s="16" t="s">
        <v>101</v>
      </c>
      <c r="G42" s="16" t="s">
        <v>39</v>
      </c>
      <c r="H42" s="14">
        <v>20.0</v>
      </c>
      <c r="I42" s="14">
        <v>7.0</v>
      </c>
      <c r="J42" s="16" t="s">
        <v>40</v>
      </c>
      <c r="K42" s="14">
        <v>70.0</v>
      </c>
      <c r="L42" s="16" t="s">
        <v>59</v>
      </c>
      <c r="M42" s="16" t="s">
        <v>51</v>
      </c>
      <c r="N42" s="16" t="s">
        <v>52</v>
      </c>
      <c r="O42" s="16" t="s">
        <v>116</v>
      </c>
      <c r="P42" s="16" t="s">
        <v>117</v>
      </c>
      <c r="Q42" s="20">
        <v>46219.0</v>
      </c>
      <c r="R42" s="16" t="s">
        <v>118</v>
      </c>
      <c r="S42" s="16" t="s">
        <v>119</v>
      </c>
      <c r="T42" s="19" t="str">
        <f t="shared" si="2"/>
        <v>Series B+ | Standard</v>
      </c>
    </row>
    <row r="43" ht="15.75" customHeight="1">
      <c r="A43" s="16" t="s">
        <v>157</v>
      </c>
      <c r="B43" s="14">
        <v>85.0</v>
      </c>
      <c r="C43" s="15"/>
      <c r="D43" s="16" t="s">
        <v>47</v>
      </c>
      <c r="E43" s="16" t="s">
        <v>57</v>
      </c>
      <c r="F43" s="16" t="s">
        <v>87</v>
      </c>
      <c r="G43" s="16" t="s">
        <v>29</v>
      </c>
      <c r="H43" s="14">
        <v>12.0</v>
      </c>
      <c r="I43" s="14">
        <v>9.0</v>
      </c>
      <c r="J43" s="16" t="s">
        <v>40</v>
      </c>
      <c r="K43" s="14">
        <v>75.0</v>
      </c>
      <c r="L43" s="16" t="s">
        <v>41</v>
      </c>
      <c r="M43" s="16" t="s">
        <v>42</v>
      </c>
      <c r="N43" s="16" t="s">
        <v>33</v>
      </c>
      <c r="O43" s="16" t="s">
        <v>116</v>
      </c>
      <c r="P43" s="16" t="s">
        <v>117</v>
      </c>
      <c r="Q43" s="20">
        <v>46219.0</v>
      </c>
      <c r="R43" s="16" t="s">
        <v>118</v>
      </c>
      <c r="S43" s="16" t="s">
        <v>119</v>
      </c>
      <c r="T43" s="19" t="str">
        <f t="shared" si="2"/>
        <v>Series B+ | High-cost</v>
      </c>
    </row>
    <row r="44" ht="15.75" customHeight="1">
      <c r="A44" s="16" t="s">
        <v>158</v>
      </c>
      <c r="B44" s="14">
        <v>19.0</v>
      </c>
      <c r="C44" s="15"/>
      <c r="D44" s="16" t="s">
        <v>37</v>
      </c>
      <c r="E44" s="16" t="s">
        <v>57</v>
      </c>
      <c r="F44" s="16" t="s">
        <v>101</v>
      </c>
      <c r="G44" s="16" t="s">
        <v>39</v>
      </c>
      <c r="H44" s="14">
        <v>11.0</v>
      </c>
      <c r="I44" s="14">
        <v>11.0</v>
      </c>
      <c r="J44" s="16" t="s">
        <v>30</v>
      </c>
      <c r="K44" s="16"/>
      <c r="L44" s="16" t="s">
        <v>41</v>
      </c>
      <c r="M44" s="16" t="s">
        <v>32</v>
      </c>
      <c r="N44" s="16" t="s">
        <v>33</v>
      </c>
      <c r="O44" s="16" t="s">
        <v>116</v>
      </c>
      <c r="P44" s="16" t="s">
        <v>117</v>
      </c>
      <c r="Q44" s="20">
        <v>46219.0</v>
      </c>
      <c r="R44" s="16" t="s">
        <v>118</v>
      </c>
      <c r="S44" s="16" t="s">
        <v>119</v>
      </c>
      <c r="T44" s="19" t="str">
        <f t="shared" si="2"/>
        <v>Series A | Standard</v>
      </c>
    </row>
    <row r="45" ht="15.75" customHeight="1">
      <c r="A45" s="16" t="s">
        <v>159</v>
      </c>
      <c r="B45" s="14">
        <v>7.0</v>
      </c>
      <c r="C45" s="15"/>
      <c r="D45" s="16" t="s">
        <v>27</v>
      </c>
      <c r="E45" s="16" t="s">
        <v>48</v>
      </c>
      <c r="F45" s="16" t="s">
        <v>122</v>
      </c>
      <c r="G45" s="16" t="s">
        <v>39</v>
      </c>
      <c r="H45" s="14">
        <v>14.0</v>
      </c>
      <c r="I45" s="14">
        <v>5.0</v>
      </c>
      <c r="J45" s="16" t="s">
        <v>40</v>
      </c>
      <c r="K45" s="14">
        <v>80.0</v>
      </c>
      <c r="L45" s="16" t="s">
        <v>50</v>
      </c>
      <c r="M45" s="16" t="s">
        <v>32</v>
      </c>
      <c r="N45" s="16" t="s">
        <v>33</v>
      </c>
      <c r="O45" s="16" t="s">
        <v>116</v>
      </c>
      <c r="P45" s="16" t="s">
        <v>117</v>
      </c>
      <c r="Q45" s="20">
        <v>46219.0</v>
      </c>
      <c r="R45" s="16" t="s">
        <v>118</v>
      </c>
      <c r="S45" s="16" t="s">
        <v>119</v>
      </c>
      <c r="T45" s="19" t="str">
        <f t="shared" si="2"/>
        <v>Seed | Standard</v>
      </c>
    </row>
    <row r="46" ht="15.75" customHeight="1">
      <c r="A46" s="16" t="s">
        <v>160</v>
      </c>
      <c r="B46" s="14">
        <v>48.0</v>
      </c>
      <c r="C46" s="15"/>
      <c r="D46" s="16" t="s">
        <v>37</v>
      </c>
      <c r="E46" s="16" t="s">
        <v>28</v>
      </c>
      <c r="F46" s="16" t="s">
        <v>83</v>
      </c>
      <c r="G46" s="16" t="s">
        <v>29</v>
      </c>
      <c r="H46" s="14">
        <v>17.0</v>
      </c>
      <c r="I46" s="14">
        <v>10.0</v>
      </c>
      <c r="J46" s="16" t="s">
        <v>30</v>
      </c>
      <c r="K46" s="16"/>
      <c r="L46" s="16" t="s">
        <v>50</v>
      </c>
      <c r="M46" s="16" t="s">
        <v>42</v>
      </c>
      <c r="N46" s="16" t="s">
        <v>43</v>
      </c>
      <c r="O46" s="16" t="s">
        <v>116</v>
      </c>
      <c r="P46" s="16" t="s">
        <v>117</v>
      </c>
      <c r="Q46" s="20">
        <v>46219.0</v>
      </c>
      <c r="R46" s="16" t="s">
        <v>118</v>
      </c>
      <c r="S46" s="16" t="s">
        <v>119</v>
      </c>
      <c r="T46" s="19" t="str">
        <f t="shared" si="2"/>
        <v>Series A | High-cost</v>
      </c>
    </row>
    <row r="47" ht="15.75" customHeight="1">
      <c r="A47" s="16" t="s">
        <v>161</v>
      </c>
      <c r="B47" s="14">
        <v>88.0</v>
      </c>
      <c r="C47" s="15"/>
      <c r="D47" s="16" t="s">
        <v>37</v>
      </c>
      <c r="E47" s="16" t="s">
        <v>38</v>
      </c>
      <c r="F47" s="16" t="s">
        <v>91</v>
      </c>
      <c r="G47" s="16" t="s">
        <v>39</v>
      </c>
      <c r="H47" s="14">
        <v>8.0</v>
      </c>
      <c r="I47" s="14">
        <v>7.0</v>
      </c>
      <c r="J47" s="16" t="s">
        <v>30</v>
      </c>
      <c r="K47" s="16"/>
      <c r="L47" s="16" t="s">
        <v>41</v>
      </c>
      <c r="M47" s="16" t="s">
        <v>42</v>
      </c>
      <c r="N47" s="16" t="s">
        <v>43</v>
      </c>
      <c r="O47" s="16" t="s">
        <v>116</v>
      </c>
      <c r="P47" s="16" t="s">
        <v>117</v>
      </c>
      <c r="Q47" s="20">
        <v>46219.0</v>
      </c>
      <c r="R47" s="16" t="s">
        <v>118</v>
      </c>
      <c r="S47" s="16" t="s">
        <v>119</v>
      </c>
      <c r="T47" s="19" t="str">
        <f t="shared" si="2"/>
        <v>Series A | Standard</v>
      </c>
    </row>
    <row r="48" ht="15.75" customHeight="1">
      <c r="A48" s="16" t="s">
        <v>162</v>
      </c>
      <c r="B48" s="14">
        <v>30.0</v>
      </c>
      <c r="C48" s="15"/>
      <c r="D48" s="16" t="s">
        <v>37</v>
      </c>
      <c r="E48" s="16" t="s">
        <v>48</v>
      </c>
      <c r="F48" s="16" t="s">
        <v>131</v>
      </c>
      <c r="G48" s="16" t="s">
        <v>39</v>
      </c>
      <c r="H48" s="14">
        <v>12.0</v>
      </c>
      <c r="I48" s="14">
        <v>10.0</v>
      </c>
      <c r="J48" s="16" t="s">
        <v>30</v>
      </c>
      <c r="K48" s="16"/>
      <c r="L48" s="16" t="s">
        <v>50</v>
      </c>
      <c r="M48" s="16" t="s">
        <v>51</v>
      </c>
      <c r="N48" s="16" t="s">
        <v>33</v>
      </c>
      <c r="O48" s="16" t="s">
        <v>116</v>
      </c>
      <c r="P48" s="16" t="s">
        <v>117</v>
      </c>
      <c r="Q48" s="20">
        <v>46219.0</v>
      </c>
      <c r="R48" s="16" t="s">
        <v>118</v>
      </c>
      <c r="S48" s="16" t="s">
        <v>119</v>
      </c>
      <c r="T48" s="19" t="str">
        <f t="shared" si="2"/>
        <v>Series A | Standard</v>
      </c>
    </row>
    <row r="49" ht="15.75" customHeight="1">
      <c r="A49" s="16" t="s">
        <v>163</v>
      </c>
      <c r="B49" s="14">
        <v>37.0</v>
      </c>
      <c r="C49" s="15"/>
      <c r="D49" s="16" t="s">
        <v>37</v>
      </c>
      <c r="E49" s="16" t="s">
        <v>63</v>
      </c>
      <c r="F49" s="16" t="s">
        <v>149</v>
      </c>
      <c r="G49" s="16" t="s">
        <v>39</v>
      </c>
      <c r="H49" s="14">
        <v>12.0</v>
      </c>
      <c r="I49" s="14">
        <v>10.0</v>
      </c>
      <c r="J49" s="16" t="s">
        <v>30</v>
      </c>
      <c r="K49" s="16"/>
      <c r="L49" s="16" t="s">
        <v>31</v>
      </c>
      <c r="M49" s="16" t="s">
        <v>42</v>
      </c>
      <c r="N49" s="16" t="s">
        <v>33</v>
      </c>
      <c r="O49" s="16" t="s">
        <v>116</v>
      </c>
      <c r="P49" s="16" t="s">
        <v>117</v>
      </c>
      <c r="Q49" s="20">
        <v>46219.0</v>
      </c>
      <c r="R49" s="16" t="s">
        <v>118</v>
      </c>
      <c r="S49" s="16" t="s">
        <v>119</v>
      </c>
      <c r="T49" s="19" t="str">
        <f t="shared" si="2"/>
        <v>Series A | Standard</v>
      </c>
    </row>
    <row r="50" ht="15.75" customHeight="1">
      <c r="A50" s="16" t="s">
        <v>164</v>
      </c>
      <c r="B50" s="14">
        <v>56.0</v>
      </c>
      <c r="C50" s="15"/>
      <c r="D50" s="16" t="s">
        <v>37</v>
      </c>
      <c r="E50" s="16" t="s">
        <v>57</v>
      </c>
      <c r="F50" s="16" t="s">
        <v>126</v>
      </c>
      <c r="G50" s="16" t="s">
        <v>39</v>
      </c>
      <c r="H50" s="14">
        <v>15.0</v>
      </c>
      <c r="I50" s="14">
        <v>7.0</v>
      </c>
      <c r="J50" s="16" t="s">
        <v>30</v>
      </c>
      <c r="K50" s="16"/>
      <c r="L50" s="16" t="s">
        <v>41</v>
      </c>
      <c r="M50" s="16" t="s">
        <v>51</v>
      </c>
      <c r="N50" s="16" t="s">
        <v>33</v>
      </c>
      <c r="O50" s="16" t="s">
        <v>116</v>
      </c>
      <c r="P50" s="16" t="s">
        <v>117</v>
      </c>
      <c r="Q50" s="20">
        <v>46219.0</v>
      </c>
      <c r="R50" s="16" t="s">
        <v>118</v>
      </c>
      <c r="S50" s="16" t="s">
        <v>119</v>
      </c>
      <c r="T50" s="19" t="str">
        <f t="shared" si="2"/>
        <v>Series A | Standard</v>
      </c>
    </row>
    <row r="51" ht="15.75" customHeight="1">
      <c r="A51" s="16" t="s">
        <v>165</v>
      </c>
      <c r="B51" s="14">
        <v>18.0</v>
      </c>
      <c r="C51" s="15"/>
      <c r="D51" s="16" t="s">
        <v>27</v>
      </c>
      <c r="E51" s="16" t="s">
        <v>48</v>
      </c>
      <c r="F51" s="16" t="s">
        <v>101</v>
      </c>
      <c r="G51" s="16" t="s">
        <v>39</v>
      </c>
      <c r="H51" s="14">
        <v>9.0</v>
      </c>
      <c r="I51" s="14">
        <v>3.0</v>
      </c>
      <c r="J51" s="16" t="s">
        <v>30</v>
      </c>
      <c r="K51" s="16"/>
      <c r="L51" s="16" t="s">
        <v>41</v>
      </c>
      <c r="M51" s="16" t="s">
        <v>42</v>
      </c>
      <c r="N51" s="16" t="s">
        <v>43</v>
      </c>
      <c r="O51" s="16" t="s">
        <v>116</v>
      </c>
      <c r="P51" s="16" t="s">
        <v>117</v>
      </c>
      <c r="Q51" s="20">
        <v>46219.0</v>
      </c>
      <c r="R51" s="16" t="s">
        <v>118</v>
      </c>
      <c r="S51" s="16" t="s">
        <v>119</v>
      </c>
      <c r="T51" s="19" t="str">
        <f t="shared" si="2"/>
        <v>Seed | Standard</v>
      </c>
    </row>
    <row r="52" ht="15.75" customHeight="1">
      <c r="A52" s="16" t="s">
        <v>166</v>
      </c>
      <c r="B52" s="14">
        <v>88.0</v>
      </c>
      <c r="C52" s="15"/>
      <c r="D52" s="16" t="s">
        <v>37</v>
      </c>
      <c r="E52" s="16" t="s">
        <v>38</v>
      </c>
      <c r="F52" s="16" t="s">
        <v>129</v>
      </c>
      <c r="G52" s="16" t="s">
        <v>39</v>
      </c>
      <c r="H52" s="14">
        <v>15.0</v>
      </c>
      <c r="I52" s="14">
        <v>10.0</v>
      </c>
      <c r="J52" s="16" t="s">
        <v>30</v>
      </c>
      <c r="K52" s="16"/>
      <c r="L52" s="16" t="s">
        <v>31</v>
      </c>
      <c r="M52" s="16" t="s">
        <v>32</v>
      </c>
      <c r="N52" s="16" t="s">
        <v>52</v>
      </c>
      <c r="O52" s="16" t="s">
        <v>116</v>
      </c>
      <c r="P52" s="16" t="s">
        <v>117</v>
      </c>
      <c r="Q52" s="20">
        <v>46219.0</v>
      </c>
      <c r="R52" s="16" t="s">
        <v>118</v>
      </c>
      <c r="S52" s="16" t="s">
        <v>119</v>
      </c>
      <c r="T52" s="19" t="str">
        <f t="shared" si="2"/>
        <v>Series A | Standard</v>
      </c>
    </row>
    <row r="53" ht="15.75" customHeight="1">
      <c r="A53" s="16" t="s">
        <v>167</v>
      </c>
      <c r="B53" s="14">
        <v>172.0</v>
      </c>
      <c r="C53" s="15"/>
      <c r="D53" s="16" t="s">
        <v>47</v>
      </c>
      <c r="E53" s="16" t="s">
        <v>57</v>
      </c>
      <c r="F53" s="16" t="s">
        <v>87</v>
      </c>
      <c r="G53" s="16" t="s">
        <v>29</v>
      </c>
      <c r="H53" s="14">
        <v>18.0</v>
      </c>
      <c r="I53" s="14">
        <v>7.0</v>
      </c>
      <c r="J53" s="16" t="s">
        <v>49</v>
      </c>
      <c r="K53" s="16"/>
      <c r="L53" s="16" t="s">
        <v>31</v>
      </c>
      <c r="M53" s="16" t="s">
        <v>42</v>
      </c>
      <c r="N53" s="16" t="s">
        <v>33</v>
      </c>
      <c r="O53" s="16" t="s">
        <v>116</v>
      </c>
      <c r="P53" s="16" t="s">
        <v>117</v>
      </c>
      <c r="Q53" s="20">
        <v>46219.0</v>
      </c>
      <c r="R53" s="16" t="s">
        <v>118</v>
      </c>
      <c r="S53" s="16" t="s">
        <v>119</v>
      </c>
      <c r="T53" s="19" t="str">
        <f t="shared" si="2"/>
        <v>Series B+ | High-cost</v>
      </c>
    </row>
    <row r="54" ht="15.75" customHeight="1">
      <c r="A54" s="16" t="s">
        <v>168</v>
      </c>
      <c r="B54" s="14">
        <v>31.0</v>
      </c>
      <c r="C54" s="15"/>
      <c r="D54" s="16" t="s">
        <v>27</v>
      </c>
      <c r="E54" s="16" t="s">
        <v>63</v>
      </c>
      <c r="F54" s="16" t="s">
        <v>131</v>
      </c>
      <c r="G54" s="16" t="s">
        <v>39</v>
      </c>
      <c r="H54" s="14">
        <v>12.0</v>
      </c>
      <c r="I54" s="14">
        <v>8.0</v>
      </c>
      <c r="J54" s="16" t="s">
        <v>49</v>
      </c>
      <c r="K54" s="16"/>
      <c r="L54" s="16" t="s">
        <v>59</v>
      </c>
      <c r="M54" s="16" t="s">
        <v>32</v>
      </c>
      <c r="N54" s="16" t="s">
        <v>52</v>
      </c>
      <c r="O54" s="16" t="s">
        <v>116</v>
      </c>
      <c r="P54" s="16" t="s">
        <v>117</v>
      </c>
      <c r="Q54" s="20">
        <v>46219.0</v>
      </c>
      <c r="R54" s="16" t="s">
        <v>118</v>
      </c>
      <c r="S54" s="16" t="s">
        <v>119</v>
      </c>
      <c r="T54" s="19" t="str">
        <f t="shared" si="2"/>
        <v>Seed | Standard</v>
      </c>
    </row>
    <row r="55" ht="15.75" customHeight="1">
      <c r="A55" s="16" t="s">
        <v>169</v>
      </c>
      <c r="B55" s="14">
        <v>18.0</v>
      </c>
      <c r="C55" s="15"/>
      <c r="D55" s="16" t="s">
        <v>27</v>
      </c>
      <c r="E55" s="16" t="s">
        <v>48</v>
      </c>
      <c r="F55" s="16" t="s">
        <v>131</v>
      </c>
      <c r="G55" s="16" t="s">
        <v>39</v>
      </c>
      <c r="H55" s="14">
        <v>13.0</v>
      </c>
      <c r="I55" s="14">
        <v>7.0</v>
      </c>
      <c r="J55" s="16" t="s">
        <v>30</v>
      </c>
      <c r="K55" s="16"/>
      <c r="L55" s="16" t="s">
        <v>59</v>
      </c>
      <c r="M55" s="16" t="s">
        <v>32</v>
      </c>
      <c r="N55" s="16" t="s">
        <v>52</v>
      </c>
      <c r="O55" s="16" t="s">
        <v>116</v>
      </c>
      <c r="P55" s="16" t="s">
        <v>117</v>
      </c>
      <c r="Q55" s="20">
        <v>46219.0</v>
      </c>
      <c r="R55" s="16" t="s">
        <v>118</v>
      </c>
      <c r="S55" s="16" t="s">
        <v>119</v>
      </c>
      <c r="T55" s="19" t="str">
        <f t="shared" si="2"/>
        <v>Seed | Standard</v>
      </c>
    </row>
    <row r="56" ht="15.75" customHeight="1">
      <c r="A56" s="16" t="s">
        <v>170</v>
      </c>
      <c r="B56" s="14">
        <v>37.0</v>
      </c>
      <c r="C56" s="15"/>
      <c r="D56" s="16" t="s">
        <v>27</v>
      </c>
      <c r="E56" s="16" t="s">
        <v>28</v>
      </c>
      <c r="F56" s="16" t="s">
        <v>133</v>
      </c>
      <c r="G56" s="16" t="s">
        <v>29</v>
      </c>
      <c r="H56" s="14">
        <v>8.0</v>
      </c>
      <c r="I56" s="14">
        <v>3.0</v>
      </c>
      <c r="J56" s="16" t="s">
        <v>30</v>
      </c>
      <c r="K56" s="16"/>
      <c r="L56" s="16" t="s">
        <v>41</v>
      </c>
      <c r="M56" s="16" t="s">
        <v>51</v>
      </c>
      <c r="N56" s="16" t="s">
        <v>33</v>
      </c>
      <c r="O56" s="16" t="s">
        <v>116</v>
      </c>
      <c r="P56" s="16" t="s">
        <v>117</v>
      </c>
      <c r="Q56" s="20">
        <v>46219.0</v>
      </c>
      <c r="R56" s="16" t="s">
        <v>118</v>
      </c>
      <c r="S56" s="16" t="s">
        <v>119</v>
      </c>
      <c r="T56" s="19" t="str">
        <f t="shared" si="2"/>
        <v>Seed | High-cost</v>
      </c>
    </row>
    <row r="57" ht="15.75" customHeight="1">
      <c r="A57" s="16" t="s">
        <v>171</v>
      </c>
      <c r="B57" s="14">
        <v>32.0</v>
      </c>
      <c r="C57" s="15"/>
      <c r="D57" s="16" t="s">
        <v>27</v>
      </c>
      <c r="E57" s="16" t="s">
        <v>57</v>
      </c>
      <c r="F57" s="16" t="s">
        <v>87</v>
      </c>
      <c r="G57" s="16" t="s">
        <v>29</v>
      </c>
      <c r="H57" s="14">
        <v>9.0</v>
      </c>
      <c r="I57" s="14">
        <v>8.0</v>
      </c>
      <c r="J57" s="16" t="s">
        <v>30</v>
      </c>
      <c r="K57" s="16"/>
      <c r="L57" s="16" t="s">
        <v>31</v>
      </c>
      <c r="M57" s="16" t="s">
        <v>51</v>
      </c>
      <c r="N57" s="16" t="s">
        <v>33</v>
      </c>
      <c r="O57" s="16" t="s">
        <v>116</v>
      </c>
      <c r="P57" s="16" t="s">
        <v>117</v>
      </c>
      <c r="Q57" s="20">
        <v>46219.0</v>
      </c>
      <c r="R57" s="16" t="s">
        <v>118</v>
      </c>
      <c r="S57" s="16" t="s">
        <v>119</v>
      </c>
      <c r="T57" s="19" t="str">
        <f t="shared" si="2"/>
        <v>Seed | High-cost</v>
      </c>
    </row>
    <row r="58" ht="15.75" customHeight="1">
      <c r="A58" s="16" t="s">
        <v>172</v>
      </c>
      <c r="B58" s="14">
        <v>27.0</v>
      </c>
      <c r="C58" s="15"/>
      <c r="D58" s="16" t="s">
        <v>27</v>
      </c>
      <c r="E58" s="16" t="s">
        <v>57</v>
      </c>
      <c r="F58" s="16" t="s">
        <v>131</v>
      </c>
      <c r="G58" s="16" t="s">
        <v>39</v>
      </c>
      <c r="H58" s="14">
        <v>14.0</v>
      </c>
      <c r="I58" s="14">
        <v>8.0</v>
      </c>
      <c r="J58" s="16" t="s">
        <v>40</v>
      </c>
      <c r="K58" s="14">
        <v>60.0</v>
      </c>
      <c r="L58" s="16" t="s">
        <v>59</v>
      </c>
      <c r="M58" s="16" t="s">
        <v>32</v>
      </c>
      <c r="N58" s="16" t="s">
        <v>33</v>
      </c>
      <c r="O58" s="16" t="s">
        <v>116</v>
      </c>
      <c r="P58" s="16" t="s">
        <v>117</v>
      </c>
      <c r="Q58" s="20">
        <v>46219.0</v>
      </c>
      <c r="R58" s="16" t="s">
        <v>118</v>
      </c>
      <c r="S58" s="16" t="s">
        <v>119</v>
      </c>
      <c r="T58" s="19" t="str">
        <f t="shared" si="2"/>
        <v>Seed | Standard</v>
      </c>
    </row>
    <row r="59" ht="15.75" customHeight="1">
      <c r="A59" s="16" t="s">
        <v>173</v>
      </c>
      <c r="B59" s="14">
        <v>66.0</v>
      </c>
      <c r="C59" s="15"/>
      <c r="D59" s="16" t="s">
        <v>37</v>
      </c>
      <c r="E59" s="16" t="s">
        <v>38</v>
      </c>
      <c r="F59" s="16" t="s">
        <v>126</v>
      </c>
      <c r="G59" s="16" t="s">
        <v>39</v>
      </c>
      <c r="H59" s="14">
        <v>10.0</v>
      </c>
      <c r="I59" s="14">
        <v>8.0</v>
      </c>
      <c r="J59" s="16" t="s">
        <v>30</v>
      </c>
      <c r="K59" s="16"/>
      <c r="L59" s="16" t="s">
        <v>59</v>
      </c>
      <c r="M59" s="16" t="s">
        <v>51</v>
      </c>
      <c r="N59" s="16" t="s">
        <v>43</v>
      </c>
      <c r="O59" s="16" t="s">
        <v>116</v>
      </c>
      <c r="P59" s="16" t="s">
        <v>117</v>
      </c>
      <c r="Q59" s="20">
        <v>46219.0</v>
      </c>
      <c r="R59" s="16" t="s">
        <v>118</v>
      </c>
      <c r="S59" s="16" t="s">
        <v>119</v>
      </c>
      <c r="T59" s="19" t="str">
        <f t="shared" si="2"/>
        <v>Series A | Standard</v>
      </c>
    </row>
    <row r="60" ht="15.75" customHeight="1">
      <c r="A60" s="16" t="s">
        <v>174</v>
      </c>
      <c r="B60" s="14">
        <v>32.0</v>
      </c>
      <c r="C60" s="15"/>
      <c r="D60" s="16" t="s">
        <v>27</v>
      </c>
      <c r="E60" s="16" t="s">
        <v>38</v>
      </c>
      <c r="F60" s="16" t="s">
        <v>87</v>
      </c>
      <c r="G60" s="16" t="s">
        <v>29</v>
      </c>
      <c r="H60" s="14">
        <v>10.0</v>
      </c>
      <c r="I60" s="14">
        <v>5.0</v>
      </c>
      <c r="J60" s="16" t="s">
        <v>30</v>
      </c>
      <c r="K60" s="16"/>
      <c r="L60" s="16" t="s">
        <v>59</v>
      </c>
      <c r="M60" s="16" t="s">
        <v>42</v>
      </c>
      <c r="N60" s="16" t="s">
        <v>33</v>
      </c>
      <c r="O60" s="16" t="s">
        <v>116</v>
      </c>
      <c r="P60" s="16" t="s">
        <v>117</v>
      </c>
      <c r="Q60" s="20">
        <v>46219.0</v>
      </c>
      <c r="R60" s="16" t="s">
        <v>118</v>
      </c>
      <c r="S60" s="16" t="s">
        <v>119</v>
      </c>
      <c r="T60" s="19" t="str">
        <f t="shared" si="2"/>
        <v>Seed | High-cost</v>
      </c>
    </row>
    <row r="61" ht="15.75" customHeight="1">
      <c r="A61" s="16" t="s">
        <v>175</v>
      </c>
      <c r="B61" s="14">
        <v>29.0</v>
      </c>
      <c r="C61" s="15"/>
      <c r="D61" s="16" t="s">
        <v>27</v>
      </c>
      <c r="E61" s="16" t="s">
        <v>48</v>
      </c>
      <c r="F61" s="16" t="s">
        <v>83</v>
      </c>
      <c r="G61" s="16" t="s">
        <v>29</v>
      </c>
      <c r="H61" s="14">
        <v>13.0</v>
      </c>
      <c r="I61" s="14">
        <v>2.0</v>
      </c>
      <c r="J61" s="16" t="s">
        <v>40</v>
      </c>
      <c r="K61" s="14">
        <v>50.0</v>
      </c>
      <c r="L61" s="16" t="s">
        <v>50</v>
      </c>
      <c r="M61" s="16" t="s">
        <v>32</v>
      </c>
      <c r="N61" s="16" t="s">
        <v>52</v>
      </c>
      <c r="O61" s="16" t="s">
        <v>116</v>
      </c>
      <c r="P61" s="16" t="s">
        <v>117</v>
      </c>
      <c r="Q61" s="20">
        <v>46219.0</v>
      </c>
      <c r="R61" s="16" t="s">
        <v>118</v>
      </c>
      <c r="S61" s="16" t="s">
        <v>119</v>
      </c>
      <c r="T61" s="19" t="str">
        <f t="shared" si="2"/>
        <v>Seed | High-cost</v>
      </c>
    </row>
    <row r="62" ht="15.75" customHeight="1">
      <c r="A62" s="16" t="s">
        <v>176</v>
      </c>
      <c r="B62" s="14">
        <v>91.0</v>
      </c>
      <c r="C62" s="15"/>
      <c r="D62" s="16" t="s">
        <v>47</v>
      </c>
      <c r="E62" s="16" t="s">
        <v>28</v>
      </c>
      <c r="F62" s="16" t="s">
        <v>149</v>
      </c>
      <c r="G62" s="16" t="s">
        <v>39</v>
      </c>
      <c r="H62" s="14">
        <v>12.0</v>
      </c>
      <c r="I62" s="14">
        <v>7.0</v>
      </c>
      <c r="J62" s="16" t="s">
        <v>30</v>
      </c>
      <c r="K62" s="16"/>
      <c r="L62" s="16" t="s">
        <v>31</v>
      </c>
      <c r="M62" s="16" t="s">
        <v>51</v>
      </c>
      <c r="N62" s="16" t="s">
        <v>60</v>
      </c>
      <c r="O62" s="16" t="s">
        <v>116</v>
      </c>
      <c r="P62" s="16" t="s">
        <v>117</v>
      </c>
      <c r="Q62" s="20">
        <v>46219.0</v>
      </c>
      <c r="R62" s="16" t="s">
        <v>118</v>
      </c>
      <c r="S62" s="16" t="s">
        <v>119</v>
      </c>
      <c r="T62" s="19" t="str">
        <f t="shared" si="2"/>
        <v>Series B+ | Standard</v>
      </c>
    </row>
    <row r="63" ht="15.75" customHeight="1">
      <c r="A63" s="16" t="s">
        <v>177</v>
      </c>
      <c r="B63" s="14">
        <v>82.0</v>
      </c>
      <c r="C63" s="15"/>
      <c r="D63" s="16" t="s">
        <v>47</v>
      </c>
      <c r="E63" s="16" t="s">
        <v>63</v>
      </c>
      <c r="F63" s="16" t="s">
        <v>149</v>
      </c>
      <c r="G63" s="16" t="s">
        <v>39</v>
      </c>
      <c r="H63" s="14">
        <v>21.0</v>
      </c>
      <c r="I63" s="14">
        <v>15.0</v>
      </c>
      <c r="J63" s="16" t="s">
        <v>30</v>
      </c>
      <c r="K63" s="16"/>
      <c r="L63" s="16" t="s">
        <v>41</v>
      </c>
      <c r="M63" s="16" t="s">
        <v>42</v>
      </c>
      <c r="N63" s="16" t="s">
        <v>33</v>
      </c>
      <c r="O63" s="16" t="s">
        <v>116</v>
      </c>
      <c r="P63" s="16" t="s">
        <v>117</v>
      </c>
      <c r="Q63" s="20">
        <v>46219.0</v>
      </c>
      <c r="R63" s="16" t="s">
        <v>118</v>
      </c>
      <c r="S63" s="16" t="s">
        <v>119</v>
      </c>
      <c r="T63" s="19" t="str">
        <f t="shared" si="2"/>
        <v>Series B+ | Standard</v>
      </c>
    </row>
    <row r="64" ht="15.75" customHeight="1">
      <c r="A64" s="16" t="s">
        <v>178</v>
      </c>
      <c r="B64" s="14">
        <v>63.0</v>
      </c>
      <c r="C64" s="15"/>
      <c r="D64" s="16" t="s">
        <v>37</v>
      </c>
      <c r="E64" s="16" t="s">
        <v>57</v>
      </c>
      <c r="F64" s="16" t="s">
        <v>101</v>
      </c>
      <c r="G64" s="16" t="s">
        <v>39</v>
      </c>
      <c r="H64" s="14">
        <v>9.0</v>
      </c>
      <c r="I64" s="14">
        <v>8.0</v>
      </c>
      <c r="J64" s="16" t="s">
        <v>40</v>
      </c>
      <c r="K64" s="14">
        <v>60.0</v>
      </c>
      <c r="L64" s="16" t="s">
        <v>31</v>
      </c>
      <c r="M64" s="16" t="s">
        <v>51</v>
      </c>
      <c r="N64" s="16" t="s">
        <v>52</v>
      </c>
      <c r="O64" s="16" t="s">
        <v>116</v>
      </c>
      <c r="P64" s="16" t="s">
        <v>117</v>
      </c>
      <c r="Q64" s="20">
        <v>46219.0</v>
      </c>
      <c r="R64" s="16" t="s">
        <v>118</v>
      </c>
      <c r="S64" s="16" t="s">
        <v>119</v>
      </c>
      <c r="T64" s="19" t="str">
        <f t="shared" si="2"/>
        <v>Series A | Standard</v>
      </c>
    </row>
    <row r="65" ht="15.75" customHeight="1">
      <c r="A65" s="16" t="s">
        <v>179</v>
      </c>
      <c r="B65" s="14">
        <v>184.0</v>
      </c>
      <c r="C65" s="15"/>
      <c r="D65" s="16" t="s">
        <v>47</v>
      </c>
      <c r="E65" s="16" t="s">
        <v>28</v>
      </c>
      <c r="F65" s="16" t="s">
        <v>122</v>
      </c>
      <c r="G65" s="16" t="s">
        <v>39</v>
      </c>
      <c r="H65" s="14">
        <v>18.0</v>
      </c>
      <c r="I65" s="14">
        <v>10.0</v>
      </c>
      <c r="J65" s="16" t="s">
        <v>40</v>
      </c>
      <c r="K65" s="14">
        <v>50.0</v>
      </c>
      <c r="L65" s="16" t="s">
        <v>50</v>
      </c>
      <c r="M65" s="16" t="s">
        <v>32</v>
      </c>
      <c r="N65" s="16" t="s">
        <v>52</v>
      </c>
      <c r="O65" s="16" t="s">
        <v>116</v>
      </c>
      <c r="P65" s="16" t="s">
        <v>117</v>
      </c>
      <c r="Q65" s="20">
        <v>46219.0</v>
      </c>
      <c r="R65" s="16" t="s">
        <v>118</v>
      </c>
      <c r="S65" s="16" t="s">
        <v>119</v>
      </c>
      <c r="T65" s="19" t="str">
        <f t="shared" si="2"/>
        <v>Series B+ | Standard</v>
      </c>
    </row>
    <row r="66" ht="15.75" customHeight="1">
      <c r="A66" s="16" t="s">
        <v>180</v>
      </c>
      <c r="B66" s="14">
        <v>26.0</v>
      </c>
      <c r="C66" s="15"/>
      <c r="D66" s="16" t="s">
        <v>27</v>
      </c>
      <c r="E66" s="16" t="s">
        <v>57</v>
      </c>
      <c r="F66" s="16" t="s">
        <v>133</v>
      </c>
      <c r="G66" s="16" t="s">
        <v>29</v>
      </c>
      <c r="H66" s="14">
        <v>12.0</v>
      </c>
      <c r="I66" s="14">
        <v>3.0</v>
      </c>
      <c r="J66" s="16" t="s">
        <v>40</v>
      </c>
      <c r="K66" s="14">
        <v>70.0</v>
      </c>
      <c r="L66" s="16" t="s">
        <v>59</v>
      </c>
      <c r="M66" s="16" t="s">
        <v>42</v>
      </c>
      <c r="N66" s="16" t="s">
        <v>43</v>
      </c>
      <c r="O66" s="16" t="s">
        <v>116</v>
      </c>
      <c r="P66" s="16" t="s">
        <v>117</v>
      </c>
      <c r="Q66" s="20">
        <v>46219.0</v>
      </c>
      <c r="R66" s="16" t="s">
        <v>118</v>
      </c>
      <c r="S66" s="16" t="s">
        <v>119</v>
      </c>
      <c r="T66" s="19" t="str">
        <f t="shared" si="2"/>
        <v>Seed | High-cost</v>
      </c>
    </row>
    <row r="67" ht="15.75" customHeight="1">
      <c r="A67" s="16" t="s">
        <v>181</v>
      </c>
      <c r="B67" s="14">
        <v>18.0</v>
      </c>
      <c r="C67" s="15"/>
      <c r="D67" s="16" t="s">
        <v>27</v>
      </c>
      <c r="E67" s="16" t="s">
        <v>28</v>
      </c>
      <c r="F67" s="16" t="s">
        <v>91</v>
      </c>
      <c r="G67" s="16" t="s">
        <v>39</v>
      </c>
      <c r="H67" s="14">
        <v>13.0</v>
      </c>
      <c r="I67" s="14">
        <v>3.0</v>
      </c>
      <c r="J67" s="16" t="s">
        <v>40</v>
      </c>
      <c r="K67" s="14">
        <v>80.0</v>
      </c>
      <c r="L67" s="16" t="s">
        <v>59</v>
      </c>
      <c r="M67" s="16" t="s">
        <v>42</v>
      </c>
      <c r="N67" s="16" t="s">
        <v>33</v>
      </c>
      <c r="O67" s="16" t="s">
        <v>116</v>
      </c>
      <c r="P67" s="16" t="s">
        <v>117</v>
      </c>
      <c r="Q67" s="20">
        <v>46219.0</v>
      </c>
      <c r="R67" s="16" t="s">
        <v>118</v>
      </c>
      <c r="S67" s="16" t="s">
        <v>119</v>
      </c>
      <c r="T67" s="19" t="str">
        <f t="shared" si="2"/>
        <v>Seed | Standard</v>
      </c>
    </row>
    <row r="68" ht="15.75" customHeight="1">
      <c r="A68" s="16" t="s">
        <v>182</v>
      </c>
      <c r="B68" s="14">
        <v>16.0</v>
      </c>
      <c r="C68" s="15"/>
      <c r="D68" s="16" t="s">
        <v>27</v>
      </c>
      <c r="E68" s="16" t="s">
        <v>48</v>
      </c>
      <c r="F68" s="16" t="s">
        <v>91</v>
      </c>
      <c r="G68" s="16" t="s">
        <v>39</v>
      </c>
      <c r="H68" s="14">
        <v>11.0</v>
      </c>
      <c r="I68" s="14">
        <v>4.0</v>
      </c>
      <c r="J68" s="16" t="s">
        <v>49</v>
      </c>
      <c r="K68" s="16"/>
      <c r="L68" s="16" t="s">
        <v>50</v>
      </c>
      <c r="M68" s="16" t="s">
        <v>51</v>
      </c>
      <c r="N68" s="16" t="s">
        <v>33</v>
      </c>
      <c r="O68" s="16" t="s">
        <v>116</v>
      </c>
      <c r="P68" s="16" t="s">
        <v>117</v>
      </c>
      <c r="Q68" s="20">
        <v>46219.0</v>
      </c>
      <c r="R68" s="16" t="s">
        <v>118</v>
      </c>
      <c r="S68" s="16" t="s">
        <v>119</v>
      </c>
      <c r="T68" s="19" t="str">
        <f t="shared" si="2"/>
        <v>Seed | Standard</v>
      </c>
    </row>
    <row r="69" ht="15.75" customHeight="1">
      <c r="A69" s="16" t="s">
        <v>183</v>
      </c>
      <c r="B69" s="14">
        <v>29.0</v>
      </c>
      <c r="C69" s="15"/>
      <c r="D69" s="16" t="s">
        <v>27</v>
      </c>
      <c r="E69" s="16" t="s">
        <v>57</v>
      </c>
      <c r="F69" s="16" t="s">
        <v>131</v>
      </c>
      <c r="G69" s="16" t="s">
        <v>39</v>
      </c>
      <c r="H69" s="14">
        <v>9.0</v>
      </c>
      <c r="I69" s="14">
        <v>7.0</v>
      </c>
      <c r="J69" s="16" t="s">
        <v>30</v>
      </c>
      <c r="K69" s="16"/>
      <c r="L69" s="16" t="s">
        <v>59</v>
      </c>
      <c r="M69" s="16" t="s">
        <v>42</v>
      </c>
      <c r="N69" s="16" t="s">
        <v>52</v>
      </c>
      <c r="O69" s="16" t="s">
        <v>116</v>
      </c>
      <c r="P69" s="16" t="s">
        <v>117</v>
      </c>
      <c r="Q69" s="20">
        <v>46219.0</v>
      </c>
      <c r="R69" s="16" t="s">
        <v>118</v>
      </c>
      <c r="S69" s="16" t="s">
        <v>119</v>
      </c>
      <c r="T69" s="19" t="str">
        <f t="shared" si="2"/>
        <v>Seed | Standard</v>
      </c>
    </row>
    <row r="70" ht="15.75" customHeight="1">
      <c r="A70" s="16" t="s">
        <v>184</v>
      </c>
      <c r="B70" s="14">
        <v>18.0</v>
      </c>
      <c r="C70" s="15"/>
      <c r="D70" s="16" t="s">
        <v>27</v>
      </c>
      <c r="E70" s="16" t="s">
        <v>48</v>
      </c>
      <c r="F70" s="16" t="s">
        <v>149</v>
      </c>
      <c r="G70" s="16" t="s">
        <v>39</v>
      </c>
      <c r="H70" s="14">
        <v>11.0</v>
      </c>
      <c r="I70" s="14">
        <v>5.0</v>
      </c>
      <c r="J70" s="16" t="s">
        <v>40</v>
      </c>
      <c r="K70" s="14">
        <v>70.0</v>
      </c>
      <c r="L70" s="16" t="s">
        <v>59</v>
      </c>
      <c r="M70" s="16" t="s">
        <v>51</v>
      </c>
      <c r="N70" s="16" t="s">
        <v>43</v>
      </c>
      <c r="O70" s="16" t="s">
        <v>116</v>
      </c>
      <c r="P70" s="16" t="s">
        <v>117</v>
      </c>
      <c r="Q70" s="20">
        <v>46219.0</v>
      </c>
      <c r="R70" s="16" t="s">
        <v>118</v>
      </c>
      <c r="S70" s="16" t="s">
        <v>119</v>
      </c>
      <c r="T70" s="19" t="str">
        <f t="shared" si="2"/>
        <v>Seed | Standard</v>
      </c>
    </row>
    <row r="71" ht="15.75" customHeight="1">
      <c r="A71" s="16" t="s">
        <v>185</v>
      </c>
      <c r="B71" s="14">
        <v>19.0</v>
      </c>
      <c r="C71" s="15"/>
      <c r="D71" s="16" t="s">
        <v>27</v>
      </c>
      <c r="E71" s="16" t="s">
        <v>38</v>
      </c>
      <c r="F71" s="16" t="s">
        <v>83</v>
      </c>
      <c r="G71" s="16" t="s">
        <v>29</v>
      </c>
      <c r="H71" s="14">
        <v>9.0</v>
      </c>
      <c r="I71" s="14">
        <v>4.0</v>
      </c>
      <c r="J71" s="16" t="s">
        <v>30</v>
      </c>
      <c r="K71" s="16"/>
      <c r="L71" s="16" t="s">
        <v>41</v>
      </c>
      <c r="M71" s="16" t="s">
        <v>32</v>
      </c>
      <c r="N71" s="16" t="s">
        <v>33</v>
      </c>
      <c r="O71" s="16" t="s">
        <v>116</v>
      </c>
      <c r="P71" s="16" t="s">
        <v>117</v>
      </c>
      <c r="Q71" s="20">
        <v>46219.0</v>
      </c>
      <c r="R71" s="16" t="s">
        <v>118</v>
      </c>
      <c r="S71" s="16" t="s">
        <v>119</v>
      </c>
      <c r="T71" s="19" t="str">
        <f t="shared" si="2"/>
        <v>Seed | High-cost</v>
      </c>
    </row>
    <row r="72" ht="15.75" customHeight="1">
      <c r="A72" s="16" t="s">
        <v>186</v>
      </c>
      <c r="B72" s="14">
        <v>174.0</v>
      </c>
      <c r="C72" s="15"/>
      <c r="D72" s="16" t="s">
        <v>47</v>
      </c>
      <c r="E72" s="16" t="s">
        <v>63</v>
      </c>
      <c r="F72" s="16" t="s">
        <v>91</v>
      </c>
      <c r="G72" s="16" t="s">
        <v>39</v>
      </c>
      <c r="H72" s="14">
        <v>11.0</v>
      </c>
      <c r="I72" s="14">
        <v>7.0</v>
      </c>
      <c r="J72" s="16" t="s">
        <v>30</v>
      </c>
      <c r="K72" s="16"/>
      <c r="L72" s="16" t="s">
        <v>50</v>
      </c>
      <c r="M72" s="16" t="s">
        <v>32</v>
      </c>
      <c r="N72" s="16" t="s">
        <v>33</v>
      </c>
      <c r="O72" s="16" t="s">
        <v>116</v>
      </c>
      <c r="P72" s="16" t="s">
        <v>117</v>
      </c>
      <c r="Q72" s="20">
        <v>46219.0</v>
      </c>
      <c r="R72" s="16" t="s">
        <v>118</v>
      </c>
      <c r="S72" s="16" t="s">
        <v>119</v>
      </c>
      <c r="T72" s="19" t="str">
        <f t="shared" si="2"/>
        <v>Series B+ | Standard</v>
      </c>
    </row>
    <row r="73" ht="15.75" customHeight="1">
      <c r="A73" s="16" t="s">
        <v>187</v>
      </c>
      <c r="B73" s="14">
        <v>5.0</v>
      </c>
      <c r="C73" s="15"/>
      <c r="D73" s="16" t="s">
        <v>27</v>
      </c>
      <c r="E73" s="16" t="s">
        <v>28</v>
      </c>
      <c r="F73" s="16" t="s">
        <v>131</v>
      </c>
      <c r="G73" s="16" t="s">
        <v>39</v>
      </c>
      <c r="H73" s="14">
        <v>10.0</v>
      </c>
      <c r="I73" s="14">
        <v>7.0</v>
      </c>
      <c r="J73" s="16" t="s">
        <v>49</v>
      </c>
      <c r="K73" s="16"/>
      <c r="L73" s="16" t="s">
        <v>59</v>
      </c>
      <c r="M73" s="16" t="s">
        <v>32</v>
      </c>
      <c r="N73" s="16" t="s">
        <v>60</v>
      </c>
      <c r="O73" s="16" t="s">
        <v>116</v>
      </c>
      <c r="P73" s="16" t="s">
        <v>117</v>
      </c>
      <c r="Q73" s="20">
        <v>46219.0</v>
      </c>
      <c r="R73" s="16" t="s">
        <v>118</v>
      </c>
      <c r="S73" s="16" t="s">
        <v>119</v>
      </c>
      <c r="T73" s="19" t="str">
        <f t="shared" si="2"/>
        <v>Seed | Standard</v>
      </c>
    </row>
    <row r="74" ht="15.75" customHeight="1">
      <c r="A74" s="16" t="s">
        <v>188</v>
      </c>
      <c r="B74" s="14">
        <v>71.0</v>
      </c>
      <c r="C74" s="15"/>
      <c r="D74" s="16" t="s">
        <v>37</v>
      </c>
      <c r="E74" s="16" t="s">
        <v>48</v>
      </c>
      <c r="F74" s="16" t="s">
        <v>133</v>
      </c>
      <c r="G74" s="16" t="s">
        <v>29</v>
      </c>
      <c r="H74" s="14">
        <v>8.0</v>
      </c>
      <c r="I74" s="14">
        <v>6.0</v>
      </c>
      <c r="J74" s="16" t="s">
        <v>49</v>
      </c>
      <c r="K74" s="16"/>
      <c r="L74" s="16" t="s">
        <v>59</v>
      </c>
      <c r="M74" s="16" t="s">
        <v>32</v>
      </c>
      <c r="N74" s="16" t="s">
        <v>52</v>
      </c>
      <c r="O74" s="16" t="s">
        <v>116</v>
      </c>
      <c r="P74" s="16" t="s">
        <v>117</v>
      </c>
      <c r="Q74" s="20">
        <v>46219.0</v>
      </c>
      <c r="R74" s="16" t="s">
        <v>118</v>
      </c>
      <c r="S74" s="16" t="s">
        <v>119</v>
      </c>
      <c r="T74" s="19" t="str">
        <f t="shared" si="2"/>
        <v>Series A | High-cost</v>
      </c>
    </row>
    <row r="75" ht="15.75" customHeight="1">
      <c r="A75" s="16" t="s">
        <v>189</v>
      </c>
      <c r="B75" s="14">
        <v>6.0</v>
      </c>
      <c r="C75" s="15"/>
      <c r="D75" s="16" t="s">
        <v>27</v>
      </c>
      <c r="E75" s="16" t="s">
        <v>38</v>
      </c>
      <c r="F75" s="16" t="s">
        <v>133</v>
      </c>
      <c r="G75" s="16" t="s">
        <v>29</v>
      </c>
      <c r="H75" s="14">
        <v>10.0</v>
      </c>
      <c r="I75" s="14">
        <v>2.0</v>
      </c>
      <c r="J75" s="16" t="s">
        <v>58</v>
      </c>
      <c r="K75" s="16"/>
      <c r="L75" s="16" t="s">
        <v>31</v>
      </c>
      <c r="M75" s="16" t="s">
        <v>51</v>
      </c>
      <c r="N75" s="16" t="s">
        <v>52</v>
      </c>
      <c r="O75" s="16" t="s">
        <v>116</v>
      </c>
      <c r="P75" s="16" t="s">
        <v>117</v>
      </c>
      <c r="Q75" s="20">
        <v>46219.0</v>
      </c>
      <c r="R75" s="16" t="s">
        <v>118</v>
      </c>
      <c r="S75" s="16" t="s">
        <v>119</v>
      </c>
      <c r="T75" s="19" t="str">
        <f t="shared" si="2"/>
        <v>Seed | High-cost</v>
      </c>
    </row>
    <row r="76" ht="15.75" customHeight="1">
      <c r="A76" s="16" t="s">
        <v>190</v>
      </c>
      <c r="B76" s="14">
        <v>97.0</v>
      </c>
      <c r="C76" s="15"/>
      <c r="D76" s="16" t="s">
        <v>47</v>
      </c>
      <c r="E76" s="16" t="s">
        <v>63</v>
      </c>
      <c r="F76" s="16" t="s">
        <v>129</v>
      </c>
      <c r="G76" s="16" t="s">
        <v>39</v>
      </c>
      <c r="H76" s="14">
        <v>17.0</v>
      </c>
      <c r="I76" s="14">
        <v>11.0</v>
      </c>
      <c r="J76" s="16" t="s">
        <v>30</v>
      </c>
      <c r="K76" s="16"/>
      <c r="L76" s="16" t="s">
        <v>59</v>
      </c>
      <c r="M76" s="16" t="s">
        <v>42</v>
      </c>
      <c r="N76" s="16" t="s">
        <v>43</v>
      </c>
      <c r="O76" s="16" t="s">
        <v>116</v>
      </c>
      <c r="P76" s="16" t="s">
        <v>117</v>
      </c>
      <c r="Q76" s="20">
        <v>46219.0</v>
      </c>
      <c r="R76" s="16" t="s">
        <v>118</v>
      </c>
      <c r="S76" s="16" t="s">
        <v>119</v>
      </c>
      <c r="T76" s="19" t="str">
        <f t="shared" si="2"/>
        <v>Series B+ | Standard</v>
      </c>
    </row>
    <row r="77" ht="15.75" customHeight="1">
      <c r="A77" s="16" t="s">
        <v>191</v>
      </c>
      <c r="B77" s="14">
        <v>65.0</v>
      </c>
      <c r="C77" s="15"/>
      <c r="D77" s="16" t="s">
        <v>47</v>
      </c>
      <c r="E77" s="16" t="s">
        <v>38</v>
      </c>
      <c r="F77" s="16" t="s">
        <v>101</v>
      </c>
      <c r="G77" s="16" t="s">
        <v>39</v>
      </c>
      <c r="H77" s="14">
        <v>14.0</v>
      </c>
      <c r="I77" s="14">
        <v>14.0</v>
      </c>
      <c r="J77" s="16" t="s">
        <v>30</v>
      </c>
      <c r="K77" s="16"/>
      <c r="L77" s="16" t="s">
        <v>41</v>
      </c>
      <c r="M77" s="16" t="s">
        <v>32</v>
      </c>
      <c r="N77" s="16" t="s">
        <v>43</v>
      </c>
      <c r="O77" s="16" t="s">
        <v>116</v>
      </c>
      <c r="P77" s="16" t="s">
        <v>117</v>
      </c>
      <c r="Q77" s="20">
        <v>46219.0</v>
      </c>
      <c r="R77" s="16" t="s">
        <v>118</v>
      </c>
      <c r="S77" s="16" t="s">
        <v>119</v>
      </c>
      <c r="T77" s="19" t="str">
        <f t="shared" si="2"/>
        <v>Series B+ | Standard</v>
      </c>
    </row>
    <row r="78" ht="15.75" customHeight="1">
      <c r="A78" s="16" t="s">
        <v>192</v>
      </c>
      <c r="B78" s="14">
        <v>75.0</v>
      </c>
      <c r="C78" s="15"/>
      <c r="D78" s="16" t="s">
        <v>37</v>
      </c>
      <c r="E78" s="16" t="s">
        <v>48</v>
      </c>
      <c r="F78" s="16" t="s">
        <v>87</v>
      </c>
      <c r="G78" s="16" t="s">
        <v>29</v>
      </c>
      <c r="H78" s="14">
        <v>11.0</v>
      </c>
      <c r="I78" s="14">
        <v>8.0</v>
      </c>
      <c r="J78" s="16" t="s">
        <v>40</v>
      </c>
      <c r="K78" s="14">
        <v>75.0</v>
      </c>
      <c r="L78" s="16" t="s">
        <v>31</v>
      </c>
      <c r="M78" s="16" t="s">
        <v>51</v>
      </c>
      <c r="N78" s="16" t="s">
        <v>33</v>
      </c>
      <c r="O78" s="16" t="s">
        <v>116</v>
      </c>
      <c r="P78" s="16" t="s">
        <v>117</v>
      </c>
      <c r="Q78" s="20">
        <v>46219.0</v>
      </c>
      <c r="R78" s="16" t="s">
        <v>118</v>
      </c>
      <c r="S78" s="16" t="s">
        <v>119</v>
      </c>
      <c r="T78" s="19" t="str">
        <f t="shared" si="2"/>
        <v>Series A | High-cost</v>
      </c>
    </row>
    <row r="79" ht="15.75" customHeight="1">
      <c r="A79" s="16" t="s">
        <v>193</v>
      </c>
      <c r="B79" s="14">
        <v>40.0</v>
      </c>
      <c r="C79" s="15"/>
      <c r="D79" s="16" t="s">
        <v>37</v>
      </c>
      <c r="E79" s="16" t="s">
        <v>57</v>
      </c>
      <c r="F79" s="16" t="s">
        <v>83</v>
      </c>
      <c r="G79" s="16" t="s">
        <v>29</v>
      </c>
      <c r="H79" s="14">
        <v>16.0</v>
      </c>
      <c r="I79" s="14">
        <v>7.0</v>
      </c>
      <c r="J79" s="16" t="s">
        <v>40</v>
      </c>
      <c r="K79" s="14">
        <v>70.0</v>
      </c>
      <c r="L79" s="16" t="s">
        <v>41</v>
      </c>
      <c r="M79" s="16" t="s">
        <v>32</v>
      </c>
      <c r="N79" s="16" t="s">
        <v>33</v>
      </c>
      <c r="O79" s="16" t="s">
        <v>116</v>
      </c>
      <c r="P79" s="16" t="s">
        <v>117</v>
      </c>
      <c r="Q79" s="20">
        <v>46219.0</v>
      </c>
      <c r="R79" s="16" t="s">
        <v>118</v>
      </c>
      <c r="S79" s="16" t="s">
        <v>119</v>
      </c>
      <c r="T79" s="19" t="str">
        <f t="shared" si="2"/>
        <v>Series A | High-cost</v>
      </c>
    </row>
    <row r="80" ht="15.75" customHeight="1">
      <c r="A80" s="16" t="s">
        <v>194</v>
      </c>
      <c r="B80" s="14">
        <v>87.0</v>
      </c>
      <c r="C80" s="15"/>
      <c r="D80" s="16" t="s">
        <v>37</v>
      </c>
      <c r="E80" s="16" t="s">
        <v>48</v>
      </c>
      <c r="F80" s="16" t="s">
        <v>126</v>
      </c>
      <c r="G80" s="16" t="s">
        <v>39</v>
      </c>
      <c r="H80" s="14">
        <v>9.0</v>
      </c>
      <c r="I80" s="14">
        <v>7.0</v>
      </c>
      <c r="J80" s="16" t="s">
        <v>40</v>
      </c>
      <c r="K80" s="14">
        <v>75.0</v>
      </c>
      <c r="L80" s="16" t="s">
        <v>50</v>
      </c>
      <c r="M80" s="16" t="s">
        <v>51</v>
      </c>
      <c r="N80" s="16" t="s">
        <v>43</v>
      </c>
      <c r="O80" s="16" t="s">
        <v>116</v>
      </c>
      <c r="P80" s="16" t="s">
        <v>117</v>
      </c>
      <c r="Q80" s="20">
        <v>46219.0</v>
      </c>
      <c r="R80" s="16" t="s">
        <v>118</v>
      </c>
      <c r="S80" s="16" t="s">
        <v>119</v>
      </c>
      <c r="T80" s="19" t="str">
        <f t="shared" si="2"/>
        <v>Series A | Standard</v>
      </c>
    </row>
    <row r="81" ht="15.75" customHeight="1">
      <c r="A81" s="16" t="s">
        <v>195</v>
      </c>
      <c r="B81" s="14">
        <v>70.0</v>
      </c>
      <c r="C81" s="15"/>
      <c r="D81" s="16" t="s">
        <v>37</v>
      </c>
      <c r="E81" s="16" t="s">
        <v>48</v>
      </c>
      <c r="F81" s="16" t="s">
        <v>149</v>
      </c>
      <c r="G81" s="16" t="s">
        <v>39</v>
      </c>
      <c r="H81" s="14">
        <v>12.0</v>
      </c>
      <c r="I81" s="14">
        <v>4.0</v>
      </c>
      <c r="J81" s="16" t="s">
        <v>30</v>
      </c>
      <c r="K81" s="16"/>
      <c r="L81" s="16" t="s">
        <v>31</v>
      </c>
      <c r="M81" s="16" t="s">
        <v>51</v>
      </c>
      <c r="N81" s="16" t="s">
        <v>52</v>
      </c>
      <c r="O81" s="16" t="s">
        <v>116</v>
      </c>
      <c r="P81" s="16" t="s">
        <v>117</v>
      </c>
      <c r="Q81" s="20">
        <v>46219.0</v>
      </c>
      <c r="R81" s="16" t="s">
        <v>118</v>
      </c>
      <c r="S81" s="16" t="s">
        <v>119</v>
      </c>
      <c r="T81" s="19" t="str">
        <f t="shared" si="2"/>
        <v>Series A | Standard</v>
      </c>
    </row>
    <row r="82" ht="15.75" customHeight="1">
      <c r="A82" s="16" t="s">
        <v>196</v>
      </c>
      <c r="B82" s="14">
        <v>84.0</v>
      </c>
      <c r="C82" s="15"/>
      <c r="D82" s="16" t="s">
        <v>47</v>
      </c>
      <c r="E82" s="16" t="s">
        <v>57</v>
      </c>
      <c r="F82" s="16" t="s">
        <v>131</v>
      </c>
      <c r="G82" s="16" t="s">
        <v>39</v>
      </c>
      <c r="H82" s="14">
        <v>20.0</v>
      </c>
      <c r="I82" s="14">
        <v>11.0</v>
      </c>
      <c r="J82" s="16" t="s">
        <v>49</v>
      </c>
      <c r="K82" s="16"/>
      <c r="L82" s="16" t="s">
        <v>41</v>
      </c>
      <c r="M82" s="16" t="s">
        <v>51</v>
      </c>
      <c r="N82" s="16" t="s">
        <v>43</v>
      </c>
      <c r="O82" s="16" t="s">
        <v>116</v>
      </c>
      <c r="P82" s="16" t="s">
        <v>117</v>
      </c>
      <c r="Q82" s="20">
        <v>46219.0</v>
      </c>
      <c r="R82" s="16" t="s">
        <v>118</v>
      </c>
      <c r="S82" s="16" t="s">
        <v>119</v>
      </c>
      <c r="T82" s="19" t="str">
        <f t="shared" si="2"/>
        <v>Series B+ | Standard</v>
      </c>
    </row>
    <row r="83" ht="15.75" customHeight="1">
      <c r="A83" s="16" t="s">
        <v>197</v>
      </c>
      <c r="B83" s="14">
        <v>24.0</v>
      </c>
      <c r="C83" s="15"/>
      <c r="D83" s="16" t="s">
        <v>27</v>
      </c>
      <c r="E83" s="16" t="s">
        <v>48</v>
      </c>
      <c r="F83" s="16" t="s">
        <v>83</v>
      </c>
      <c r="G83" s="16" t="s">
        <v>29</v>
      </c>
      <c r="H83" s="14">
        <v>8.0</v>
      </c>
      <c r="I83" s="14">
        <v>4.0</v>
      </c>
      <c r="J83" s="16" t="s">
        <v>30</v>
      </c>
      <c r="K83" s="16"/>
      <c r="L83" s="16" t="s">
        <v>59</v>
      </c>
      <c r="M83" s="16" t="s">
        <v>42</v>
      </c>
      <c r="N83" s="16" t="s">
        <v>52</v>
      </c>
      <c r="O83" s="16" t="s">
        <v>116</v>
      </c>
      <c r="P83" s="16" t="s">
        <v>117</v>
      </c>
      <c r="Q83" s="20">
        <v>46219.0</v>
      </c>
      <c r="R83" s="16" t="s">
        <v>118</v>
      </c>
      <c r="S83" s="16" t="s">
        <v>119</v>
      </c>
      <c r="T83" s="19" t="str">
        <f t="shared" si="2"/>
        <v>Seed | High-cost</v>
      </c>
    </row>
    <row r="84" ht="15.75" customHeight="1">
      <c r="A84" s="16" t="s">
        <v>198</v>
      </c>
      <c r="B84" s="14">
        <v>8.0</v>
      </c>
      <c r="C84" s="15"/>
      <c r="D84" s="16" t="s">
        <v>27</v>
      </c>
      <c r="E84" s="16" t="s">
        <v>48</v>
      </c>
      <c r="F84" s="16" t="s">
        <v>91</v>
      </c>
      <c r="G84" s="16" t="s">
        <v>39</v>
      </c>
      <c r="H84" s="14">
        <v>11.0</v>
      </c>
      <c r="I84" s="14">
        <v>2.0</v>
      </c>
      <c r="J84" s="16" t="s">
        <v>58</v>
      </c>
      <c r="K84" s="16"/>
      <c r="L84" s="16" t="s">
        <v>59</v>
      </c>
      <c r="M84" s="16" t="s">
        <v>51</v>
      </c>
      <c r="N84" s="16" t="s">
        <v>52</v>
      </c>
      <c r="O84" s="16" t="s">
        <v>116</v>
      </c>
      <c r="P84" s="16" t="s">
        <v>117</v>
      </c>
      <c r="Q84" s="20">
        <v>46219.0</v>
      </c>
      <c r="R84" s="16" t="s">
        <v>118</v>
      </c>
      <c r="S84" s="16" t="s">
        <v>119</v>
      </c>
      <c r="T84" s="19" t="str">
        <f t="shared" si="2"/>
        <v>Seed | Standard</v>
      </c>
    </row>
    <row r="85" ht="15.75" customHeight="1">
      <c r="A85" s="16" t="s">
        <v>199</v>
      </c>
      <c r="B85" s="14">
        <v>21.0</v>
      </c>
      <c r="C85" s="15"/>
      <c r="D85" s="16" t="s">
        <v>37</v>
      </c>
      <c r="E85" s="16" t="s">
        <v>38</v>
      </c>
      <c r="F85" s="16" t="s">
        <v>131</v>
      </c>
      <c r="G85" s="16" t="s">
        <v>39</v>
      </c>
      <c r="H85" s="14">
        <v>13.0</v>
      </c>
      <c r="I85" s="14">
        <v>11.0</v>
      </c>
      <c r="J85" s="16" t="s">
        <v>40</v>
      </c>
      <c r="K85" s="14">
        <v>50.0</v>
      </c>
      <c r="L85" s="16" t="s">
        <v>41</v>
      </c>
      <c r="M85" s="16" t="s">
        <v>42</v>
      </c>
      <c r="N85" s="16" t="s">
        <v>43</v>
      </c>
      <c r="O85" s="16" t="s">
        <v>116</v>
      </c>
      <c r="P85" s="16" t="s">
        <v>117</v>
      </c>
      <c r="Q85" s="20">
        <v>46219.0</v>
      </c>
      <c r="R85" s="16" t="s">
        <v>118</v>
      </c>
      <c r="S85" s="16" t="s">
        <v>119</v>
      </c>
      <c r="T85" s="19" t="str">
        <f t="shared" si="2"/>
        <v>Series A | Standard</v>
      </c>
    </row>
    <row r="86" ht="15.75" customHeight="1">
      <c r="A86" s="16" t="s">
        <v>200</v>
      </c>
      <c r="B86" s="14">
        <v>77.0</v>
      </c>
      <c r="C86" s="15"/>
      <c r="D86" s="16" t="s">
        <v>37</v>
      </c>
      <c r="E86" s="16" t="s">
        <v>28</v>
      </c>
      <c r="F86" s="16" t="s">
        <v>87</v>
      </c>
      <c r="G86" s="16" t="s">
        <v>29</v>
      </c>
      <c r="H86" s="14">
        <v>18.0</v>
      </c>
      <c r="I86" s="14">
        <v>7.0</v>
      </c>
      <c r="J86" s="16" t="s">
        <v>40</v>
      </c>
      <c r="K86" s="14">
        <v>70.0</v>
      </c>
      <c r="L86" s="16" t="s">
        <v>31</v>
      </c>
      <c r="M86" s="16" t="s">
        <v>51</v>
      </c>
      <c r="N86" s="16" t="s">
        <v>43</v>
      </c>
      <c r="O86" s="16" t="s">
        <v>116</v>
      </c>
      <c r="P86" s="16" t="s">
        <v>117</v>
      </c>
      <c r="Q86" s="20">
        <v>46219.0</v>
      </c>
      <c r="R86" s="16" t="s">
        <v>118</v>
      </c>
      <c r="S86" s="16" t="s">
        <v>119</v>
      </c>
      <c r="T86" s="19" t="str">
        <f t="shared" si="2"/>
        <v>Series A | High-cost</v>
      </c>
    </row>
    <row r="87" ht="15.75" customHeight="1">
      <c r="A87" s="16" t="s">
        <v>201</v>
      </c>
      <c r="B87" s="14">
        <v>30.0</v>
      </c>
      <c r="C87" s="15"/>
      <c r="D87" s="16" t="s">
        <v>37</v>
      </c>
      <c r="E87" s="16" t="s">
        <v>38</v>
      </c>
      <c r="F87" s="16" t="s">
        <v>126</v>
      </c>
      <c r="G87" s="16" t="s">
        <v>39</v>
      </c>
      <c r="H87" s="14">
        <v>12.0</v>
      </c>
      <c r="I87" s="14">
        <v>12.0</v>
      </c>
      <c r="J87" s="16" t="s">
        <v>40</v>
      </c>
      <c r="K87" s="14">
        <v>75.0</v>
      </c>
      <c r="L87" s="16" t="s">
        <v>59</v>
      </c>
      <c r="M87" s="16" t="s">
        <v>42</v>
      </c>
      <c r="N87" s="16" t="s">
        <v>33</v>
      </c>
      <c r="O87" s="16" t="s">
        <v>116</v>
      </c>
      <c r="P87" s="16" t="s">
        <v>117</v>
      </c>
      <c r="Q87" s="20">
        <v>46219.0</v>
      </c>
      <c r="R87" s="16" t="s">
        <v>118</v>
      </c>
      <c r="S87" s="16" t="s">
        <v>119</v>
      </c>
      <c r="T87" s="19" t="str">
        <f t="shared" si="2"/>
        <v>Series A | Standard</v>
      </c>
    </row>
    <row r="88" ht="15.75" customHeight="1">
      <c r="A88" s="16" t="s">
        <v>202</v>
      </c>
      <c r="B88" s="14">
        <v>80.0</v>
      </c>
      <c r="C88" s="15"/>
      <c r="D88" s="16" t="s">
        <v>37</v>
      </c>
      <c r="E88" s="16" t="s">
        <v>38</v>
      </c>
      <c r="F88" s="16" t="s">
        <v>83</v>
      </c>
      <c r="G88" s="16" t="s">
        <v>29</v>
      </c>
      <c r="H88" s="14">
        <v>12.0</v>
      </c>
      <c r="I88" s="14">
        <v>10.0</v>
      </c>
      <c r="J88" s="16" t="s">
        <v>30</v>
      </c>
      <c r="K88" s="16"/>
      <c r="L88" s="16" t="s">
        <v>50</v>
      </c>
      <c r="M88" s="16" t="s">
        <v>32</v>
      </c>
      <c r="N88" s="16" t="s">
        <v>33</v>
      </c>
      <c r="O88" s="16" t="s">
        <v>116</v>
      </c>
      <c r="P88" s="16" t="s">
        <v>117</v>
      </c>
      <c r="Q88" s="20">
        <v>46219.0</v>
      </c>
      <c r="R88" s="16" t="s">
        <v>118</v>
      </c>
      <c r="S88" s="16" t="s">
        <v>119</v>
      </c>
      <c r="T88" s="19" t="str">
        <f t="shared" si="2"/>
        <v>Series A | High-cost</v>
      </c>
    </row>
    <row r="89" ht="15.75" customHeight="1">
      <c r="A89" s="16" t="s">
        <v>203</v>
      </c>
      <c r="B89" s="14">
        <v>77.0</v>
      </c>
      <c r="C89" s="15"/>
      <c r="D89" s="16" t="s">
        <v>37</v>
      </c>
      <c r="E89" s="16" t="s">
        <v>38</v>
      </c>
      <c r="F89" s="16" t="s">
        <v>126</v>
      </c>
      <c r="G89" s="16" t="s">
        <v>39</v>
      </c>
      <c r="H89" s="14">
        <v>16.0</v>
      </c>
      <c r="I89" s="14">
        <v>11.0</v>
      </c>
      <c r="J89" s="16" t="s">
        <v>30</v>
      </c>
      <c r="K89" s="16"/>
      <c r="L89" s="16" t="s">
        <v>59</v>
      </c>
      <c r="M89" s="16" t="s">
        <v>42</v>
      </c>
      <c r="N89" s="16" t="s">
        <v>60</v>
      </c>
      <c r="O89" s="16" t="s">
        <v>116</v>
      </c>
      <c r="P89" s="16" t="s">
        <v>117</v>
      </c>
      <c r="Q89" s="20">
        <v>46219.0</v>
      </c>
      <c r="R89" s="16" t="s">
        <v>118</v>
      </c>
      <c r="S89" s="16" t="s">
        <v>119</v>
      </c>
      <c r="T89" s="19" t="str">
        <f t="shared" si="2"/>
        <v>Series A | Standard</v>
      </c>
    </row>
    <row r="90" ht="15.75" customHeight="1">
      <c r="A90" s="16" t="s">
        <v>204</v>
      </c>
      <c r="B90" s="14">
        <v>101.0</v>
      </c>
      <c r="C90" s="15"/>
      <c r="D90" s="16" t="s">
        <v>47</v>
      </c>
      <c r="E90" s="16" t="s">
        <v>63</v>
      </c>
      <c r="F90" s="16" t="s">
        <v>129</v>
      </c>
      <c r="G90" s="16" t="s">
        <v>39</v>
      </c>
      <c r="H90" s="14">
        <v>13.0</v>
      </c>
      <c r="I90" s="14">
        <v>10.0</v>
      </c>
      <c r="J90" s="16" t="s">
        <v>30</v>
      </c>
      <c r="K90" s="16"/>
      <c r="L90" s="16" t="s">
        <v>59</v>
      </c>
      <c r="M90" s="16" t="s">
        <v>51</v>
      </c>
      <c r="N90" s="16" t="s">
        <v>60</v>
      </c>
      <c r="O90" s="16" t="s">
        <v>116</v>
      </c>
      <c r="P90" s="16" t="s">
        <v>117</v>
      </c>
      <c r="Q90" s="20">
        <v>46219.0</v>
      </c>
      <c r="R90" s="16" t="s">
        <v>118</v>
      </c>
      <c r="S90" s="16" t="s">
        <v>119</v>
      </c>
      <c r="T90" s="19" t="str">
        <f t="shared" si="2"/>
        <v>Series B+ | Standard</v>
      </c>
    </row>
    <row r="91" ht="15.75" customHeight="1">
      <c r="A91" s="16" t="s">
        <v>205</v>
      </c>
      <c r="B91" s="14">
        <v>78.0</v>
      </c>
      <c r="C91" s="15"/>
      <c r="D91" s="16" t="s">
        <v>47</v>
      </c>
      <c r="E91" s="16" t="s">
        <v>57</v>
      </c>
      <c r="F91" s="16" t="s">
        <v>87</v>
      </c>
      <c r="G91" s="16" t="s">
        <v>29</v>
      </c>
      <c r="H91" s="14">
        <v>12.0</v>
      </c>
      <c r="I91" s="14">
        <v>12.0</v>
      </c>
      <c r="J91" s="16" t="s">
        <v>58</v>
      </c>
      <c r="K91" s="16"/>
      <c r="L91" s="16" t="s">
        <v>50</v>
      </c>
      <c r="M91" s="16" t="s">
        <v>32</v>
      </c>
      <c r="N91" s="16" t="s">
        <v>60</v>
      </c>
      <c r="O91" s="16" t="s">
        <v>116</v>
      </c>
      <c r="P91" s="16" t="s">
        <v>117</v>
      </c>
      <c r="Q91" s="20">
        <v>46219.0</v>
      </c>
      <c r="R91" s="16" t="s">
        <v>118</v>
      </c>
      <c r="S91" s="16" t="s">
        <v>119</v>
      </c>
      <c r="T91" s="19" t="str">
        <f t="shared" si="2"/>
        <v>Series B+ | High-cost</v>
      </c>
    </row>
    <row r="92" ht="15.75" customHeight="1">
      <c r="A92" s="16" t="s">
        <v>206</v>
      </c>
      <c r="B92" s="14">
        <v>73.0</v>
      </c>
      <c r="C92" s="15"/>
      <c r="D92" s="16" t="s">
        <v>37</v>
      </c>
      <c r="E92" s="16" t="s">
        <v>28</v>
      </c>
      <c r="F92" s="16" t="s">
        <v>133</v>
      </c>
      <c r="G92" s="16" t="s">
        <v>29</v>
      </c>
      <c r="H92" s="14">
        <v>14.0</v>
      </c>
      <c r="I92" s="14">
        <v>6.0</v>
      </c>
      <c r="J92" s="16" t="s">
        <v>30</v>
      </c>
      <c r="K92" s="16"/>
      <c r="L92" s="16" t="s">
        <v>50</v>
      </c>
      <c r="M92" s="16" t="s">
        <v>42</v>
      </c>
      <c r="N92" s="16" t="s">
        <v>43</v>
      </c>
      <c r="O92" s="16" t="s">
        <v>116</v>
      </c>
      <c r="P92" s="16" t="s">
        <v>117</v>
      </c>
      <c r="Q92" s="20">
        <v>46219.0</v>
      </c>
      <c r="R92" s="16" t="s">
        <v>118</v>
      </c>
      <c r="S92" s="16" t="s">
        <v>119</v>
      </c>
      <c r="T92" s="19" t="str">
        <f t="shared" si="2"/>
        <v>Series A | High-cost</v>
      </c>
    </row>
    <row r="93" ht="15.75" customHeight="1">
      <c r="A93" s="16" t="s">
        <v>207</v>
      </c>
      <c r="B93" s="14">
        <v>176.0</v>
      </c>
      <c r="C93" s="15"/>
      <c r="D93" s="16" t="s">
        <v>47</v>
      </c>
      <c r="E93" s="16" t="s">
        <v>57</v>
      </c>
      <c r="F93" s="16" t="s">
        <v>122</v>
      </c>
      <c r="G93" s="16" t="s">
        <v>39</v>
      </c>
      <c r="H93" s="14">
        <v>20.0</v>
      </c>
      <c r="I93" s="14">
        <v>15.0</v>
      </c>
      <c r="J93" s="16" t="s">
        <v>49</v>
      </c>
      <c r="K93" s="16"/>
      <c r="L93" s="16" t="s">
        <v>59</v>
      </c>
      <c r="M93" s="16" t="s">
        <v>51</v>
      </c>
      <c r="N93" s="16" t="s">
        <v>33</v>
      </c>
      <c r="O93" s="16" t="s">
        <v>116</v>
      </c>
      <c r="P93" s="16" t="s">
        <v>117</v>
      </c>
      <c r="Q93" s="20">
        <v>46219.0</v>
      </c>
      <c r="R93" s="16" t="s">
        <v>118</v>
      </c>
      <c r="S93" s="16" t="s">
        <v>119</v>
      </c>
      <c r="T93" s="19" t="str">
        <f t="shared" si="2"/>
        <v>Series B+ | Standard</v>
      </c>
    </row>
    <row r="94" ht="15.75" customHeight="1">
      <c r="A94" s="16" t="s">
        <v>208</v>
      </c>
      <c r="B94" s="14">
        <v>63.0</v>
      </c>
      <c r="C94" s="15"/>
      <c r="D94" s="16" t="s">
        <v>47</v>
      </c>
      <c r="E94" s="16" t="s">
        <v>57</v>
      </c>
      <c r="F94" s="16" t="s">
        <v>83</v>
      </c>
      <c r="G94" s="16" t="s">
        <v>29</v>
      </c>
      <c r="H94" s="14">
        <v>22.0</v>
      </c>
      <c r="I94" s="14">
        <v>14.0</v>
      </c>
      <c r="J94" s="16" t="s">
        <v>40</v>
      </c>
      <c r="K94" s="14">
        <v>50.0</v>
      </c>
      <c r="L94" s="16" t="s">
        <v>59</v>
      </c>
      <c r="M94" s="16" t="s">
        <v>32</v>
      </c>
      <c r="N94" s="16" t="s">
        <v>52</v>
      </c>
      <c r="O94" s="16" t="s">
        <v>116</v>
      </c>
      <c r="P94" s="16" t="s">
        <v>117</v>
      </c>
      <c r="Q94" s="20">
        <v>46219.0</v>
      </c>
      <c r="R94" s="16" t="s">
        <v>118</v>
      </c>
      <c r="S94" s="16" t="s">
        <v>119</v>
      </c>
      <c r="T94" s="19" t="str">
        <f t="shared" si="2"/>
        <v>Series B+ | High-cost</v>
      </c>
    </row>
    <row r="95" ht="15.75" customHeight="1">
      <c r="A95" s="16" t="s">
        <v>209</v>
      </c>
      <c r="B95" s="14">
        <v>6.0</v>
      </c>
      <c r="C95" s="15"/>
      <c r="D95" s="16" t="s">
        <v>27</v>
      </c>
      <c r="E95" s="16" t="s">
        <v>48</v>
      </c>
      <c r="F95" s="16" t="s">
        <v>122</v>
      </c>
      <c r="G95" s="16" t="s">
        <v>39</v>
      </c>
      <c r="H95" s="14">
        <v>11.0</v>
      </c>
      <c r="I95" s="14">
        <v>5.0</v>
      </c>
      <c r="J95" s="16" t="s">
        <v>30</v>
      </c>
      <c r="K95" s="16"/>
      <c r="L95" s="16" t="s">
        <v>59</v>
      </c>
      <c r="M95" s="16" t="s">
        <v>51</v>
      </c>
      <c r="N95" s="16" t="s">
        <v>52</v>
      </c>
      <c r="O95" s="16" t="s">
        <v>116</v>
      </c>
      <c r="P95" s="16" t="s">
        <v>117</v>
      </c>
      <c r="Q95" s="20">
        <v>46219.0</v>
      </c>
      <c r="R95" s="16" t="s">
        <v>118</v>
      </c>
      <c r="S95" s="16" t="s">
        <v>119</v>
      </c>
      <c r="T95" s="19" t="str">
        <f t="shared" si="2"/>
        <v>Seed | Standard</v>
      </c>
    </row>
    <row r="96" ht="15.75" customHeight="1">
      <c r="A96" s="16" t="s">
        <v>210</v>
      </c>
      <c r="B96" s="14">
        <v>27.0</v>
      </c>
      <c r="C96" s="15"/>
      <c r="D96" s="16" t="s">
        <v>27</v>
      </c>
      <c r="E96" s="16" t="s">
        <v>63</v>
      </c>
      <c r="F96" s="16" t="s">
        <v>101</v>
      </c>
      <c r="G96" s="16" t="s">
        <v>39</v>
      </c>
      <c r="H96" s="14">
        <v>13.0</v>
      </c>
      <c r="I96" s="14">
        <v>6.0</v>
      </c>
      <c r="J96" s="16" t="s">
        <v>30</v>
      </c>
      <c r="K96" s="16"/>
      <c r="L96" s="16" t="s">
        <v>59</v>
      </c>
      <c r="M96" s="16" t="s">
        <v>51</v>
      </c>
      <c r="N96" s="16" t="s">
        <v>33</v>
      </c>
      <c r="O96" s="16" t="s">
        <v>116</v>
      </c>
      <c r="P96" s="16" t="s">
        <v>117</v>
      </c>
      <c r="Q96" s="20">
        <v>46219.0</v>
      </c>
      <c r="R96" s="16" t="s">
        <v>118</v>
      </c>
      <c r="S96" s="16" t="s">
        <v>119</v>
      </c>
      <c r="T96" s="19" t="str">
        <f t="shared" si="2"/>
        <v>Seed | Standard</v>
      </c>
    </row>
    <row r="97" ht="15.75" customHeight="1">
      <c r="A97" s="16" t="s">
        <v>211</v>
      </c>
      <c r="B97" s="14">
        <v>179.0</v>
      </c>
      <c r="C97" s="15"/>
      <c r="D97" s="16" t="s">
        <v>47</v>
      </c>
      <c r="E97" s="16" t="s">
        <v>38</v>
      </c>
      <c r="F97" s="16" t="s">
        <v>83</v>
      </c>
      <c r="G97" s="16" t="s">
        <v>29</v>
      </c>
      <c r="H97" s="14">
        <v>17.0</v>
      </c>
      <c r="I97" s="14">
        <v>9.0</v>
      </c>
      <c r="J97" s="16" t="s">
        <v>58</v>
      </c>
      <c r="K97" s="16"/>
      <c r="L97" s="16" t="s">
        <v>50</v>
      </c>
      <c r="M97" s="16" t="s">
        <v>51</v>
      </c>
      <c r="N97" s="16" t="s">
        <v>60</v>
      </c>
      <c r="O97" s="16" t="s">
        <v>116</v>
      </c>
      <c r="P97" s="16" t="s">
        <v>117</v>
      </c>
      <c r="Q97" s="20">
        <v>46219.0</v>
      </c>
      <c r="R97" s="16" t="s">
        <v>118</v>
      </c>
      <c r="S97" s="16" t="s">
        <v>119</v>
      </c>
      <c r="T97" s="19" t="str">
        <f t="shared" si="2"/>
        <v>Series B+ | High-cost</v>
      </c>
    </row>
    <row r="98" ht="15.75" customHeight="1">
      <c r="A98" s="16" t="s">
        <v>212</v>
      </c>
      <c r="B98" s="14">
        <v>53.0</v>
      </c>
      <c r="C98" s="15"/>
      <c r="D98" s="16" t="s">
        <v>37</v>
      </c>
      <c r="E98" s="16" t="s">
        <v>38</v>
      </c>
      <c r="F98" s="16" t="s">
        <v>129</v>
      </c>
      <c r="G98" s="16" t="s">
        <v>39</v>
      </c>
      <c r="H98" s="14">
        <v>15.0</v>
      </c>
      <c r="I98" s="14">
        <v>5.0</v>
      </c>
      <c r="J98" s="16" t="s">
        <v>30</v>
      </c>
      <c r="K98" s="16"/>
      <c r="L98" s="16" t="s">
        <v>50</v>
      </c>
      <c r="M98" s="16" t="s">
        <v>51</v>
      </c>
      <c r="N98" s="16" t="s">
        <v>33</v>
      </c>
      <c r="O98" s="16" t="s">
        <v>116</v>
      </c>
      <c r="P98" s="16" t="s">
        <v>117</v>
      </c>
      <c r="Q98" s="20">
        <v>46219.0</v>
      </c>
      <c r="R98" s="16" t="s">
        <v>118</v>
      </c>
      <c r="S98" s="16" t="s">
        <v>119</v>
      </c>
      <c r="T98" s="19" t="str">
        <f t="shared" si="2"/>
        <v>Series A | Standard</v>
      </c>
    </row>
    <row r="99" ht="15.75" customHeight="1">
      <c r="A99" s="16" t="s">
        <v>213</v>
      </c>
      <c r="B99" s="14">
        <v>28.0</v>
      </c>
      <c r="C99" s="15"/>
      <c r="D99" s="16" t="s">
        <v>27</v>
      </c>
      <c r="E99" s="16" t="s">
        <v>48</v>
      </c>
      <c r="F99" s="16" t="s">
        <v>87</v>
      </c>
      <c r="G99" s="16" t="s">
        <v>29</v>
      </c>
      <c r="H99" s="14">
        <v>6.0</v>
      </c>
      <c r="I99" s="14">
        <v>6.0</v>
      </c>
      <c r="J99" s="16" t="s">
        <v>40</v>
      </c>
      <c r="K99" s="14">
        <v>70.0</v>
      </c>
      <c r="L99" s="16" t="s">
        <v>41</v>
      </c>
      <c r="M99" s="16" t="s">
        <v>51</v>
      </c>
      <c r="N99" s="16" t="s">
        <v>52</v>
      </c>
      <c r="O99" s="16" t="s">
        <v>116</v>
      </c>
      <c r="P99" s="16" t="s">
        <v>117</v>
      </c>
      <c r="Q99" s="20">
        <v>46219.0</v>
      </c>
      <c r="R99" s="16" t="s">
        <v>118</v>
      </c>
      <c r="S99" s="16" t="s">
        <v>119</v>
      </c>
      <c r="T99" s="19" t="str">
        <f t="shared" si="2"/>
        <v>Seed | High-cost</v>
      </c>
    </row>
    <row r="100" ht="15.75" customHeight="1">
      <c r="A100" s="16" t="s">
        <v>214</v>
      </c>
      <c r="B100" s="14">
        <v>32.0</v>
      </c>
      <c r="C100" s="15"/>
      <c r="D100" s="16" t="s">
        <v>37</v>
      </c>
      <c r="E100" s="16" t="s">
        <v>28</v>
      </c>
      <c r="F100" s="16" t="s">
        <v>87</v>
      </c>
      <c r="G100" s="16" t="s">
        <v>29</v>
      </c>
      <c r="H100" s="14">
        <v>12.0</v>
      </c>
      <c r="I100" s="14">
        <v>11.0</v>
      </c>
      <c r="J100" s="16" t="s">
        <v>30</v>
      </c>
      <c r="K100" s="16"/>
      <c r="L100" s="16" t="s">
        <v>50</v>
      </c>
      <c r="M100" s="16" t="s">
        <v>51</v>
      </c>
      <c r="N100" s="16" t="s">
        <v>33</v>
      </c>
      <c r="O100" s="16" t="s">
        <v>116</v>
      </c>
      <c r="P100" s="16" t="s">
        <v>117</v>
      </c>
      <c r="Q100" s="20">
        <v>46219.0</v>
      </c>
      <c r="R100" s="16" t="s">
        <v>118</v>
      </c>
      <c r="S100" s="16" t="s">
        <v>119</v>
      </c>
      <c r="T100" s="19" t="str">
        <f t="shared" si="2"/>
        <v>Series A | High-cost</v>
      </c>
    </row>
    <row r="101" ht="15.75" customHeight="1">
      <c r="A101" s="16" t="s">
        <v>215</v>
      </c>
      <c r="B101" s="14">
        <v>11.0</v>
      </c>
      <c r="C101" s="15"/>
      <c r="D101" s="16" t="s">
        <v>27</v>
      </c>
      <c r="E101" s="16" t="s">
        <v>63</v>
      </c>
      <c r="F101" s="16" t="s">
        <v>122</v>
      </c>
      <c r="G101" s="16" t="s">
        <v>39</v>
      </c>
      <c r="H101" s="14">
        <v>14.0</v>
      </c>
      <c r="I101" s="14">
        <v>6.0</v>
      </c>
      <c r="J101" s="16" t="s">
        <v>49</v>
      </c>
      <c r="K101" s="16"/>
      <c r="L101" s="16" t="s">
        <v>41</v>
      </c>
      <c r="M101" s="16" t="s">
        <v>42</v>
      </c>
      <c r="N101" s="16" t="s">
        <v>60</v>
      </c>
      <c r="O101" s="16" t="s">
        <v>116</v>
      </c>
      <c r="P101" s="16" t="s">
        <v>117</v>
      </c>
      <c r="Q101" s="20">
        <v>46219.0</v>
      </c>
      <c r="R101" s="16" t="s">
        <v>118</v>
      </c>
      <c r="S101" s="16" t="s">
        <v>119</v>
      </c>
      <c r="T101" s="19" t="str">
        <f t="shared" si="2"/>
        <v>Seed | Standard</v>
      </c>
    </row>
    <row r="102" ht="15.75" customHeight="1">
      <c r="A102" s="16" t="s">
        <v>216</v>
      </c>
      <c r="B102" s="14">
        <v>126.0</v>
      </c>
      <c r="C102" s="15"/>
      <c r="D102" s="16" t="s">
        <v>47</v>
      </c>
      <c r="E102" s="16" t="s">
        <v>28</v>
      </c>
      <c r="F102" s="16" t="s">
        <v>126</v>
      </c>
      <c r="G102" s="16" t="s">
        <v>39</v>
      </c>
      <c r="H102" s="14">
        <v>11.0</v>
      </c>
      <c r="I102" s="14">
        <v>6.0</v>
      </c>
      <c r="J102" s="16" t="s">
        <v>40</v>
      </c>
      <c r="K102" s="14">
        <v>60.0</v>
      </c>
      <c r="L102" s="16" t="s">
        <v>59</v>
      </c>
      <c r="M102" s="16" t="s">
        <v>51</v>
      </c>
      <c r="N102" s="16" t="s">
        <v>33</v>
      </c>
      <c r="O102" s="16" t="s">
        <v>116</v>
      </c>
      <c r="P102" s="16" t="s">
        <v>117</v>
      </c>
      <c r="Q102" s="20">
        <v>46219.0</v>
      </c>
      <c r="R102" s="16" t="s">
        <v>118</v>
      </c>
      <c r="S102" s="16" t="s">
        <v>119</v>
      </c>
      <c r="T102" s="19" t="str">
        <f t="shared" si="2"/>
        <v>Series B+ | Standard</v>
      </c>
    </row>
    <row r="103" ht="15.75" customHeight="1">
      <c r="A103" s="16" t="s">
        <v>217</v>
      </c>
      <c r="B103" s="14">
        <v>37.0</v>
      </c>
      <c r="C103" s="15"/>
      <c r="D103" s="16" t="s">
        <v>27</v>
      </c>
      <c r="E103" s="16" t="s">
        <v>28</v>
      </c>
      <c r="F103" s="16" t="s">
        <v>126</v>
      </c>
      <c r="G103" s="16" t="s">
        <v>39</v>
      </c>
      <c r="H103" s="14">
        <v>11.0</v>
      </c>
      <c r="I103" s="14">
        <v>7.0</v>
      </c>
      <c r="J103" s="16" t="s">
        <v>40</v>
      </c>
      <c r="K103" s="14">
        <v>70.0</v>
      </c>
      <c r="L103" s="16" t="s">
        <v>59</v>
      </c>
      <c r="M103" s="16" t="s">
        <v>51</v>
      </c>
      <c r="N103" s="16" t="s">
        <v>60</v>
      </c>
      <c r="O103" s="16" t="s">
        <v>116</v>
      </c>
      <c r="P103" s="16" t="s">
        <v>117</v>
      </c>
      <c r="Q103" s="20">
        <v>46219.0</v>
      </c>
      <c r="R103" s="16" t="s">
        <v>118</v>
      </c>
      <c r="S103" s="16" t="s">
        <v>119</v>
      </c>
      <c r="T103" s="19" t="str">
        <f t="shared" si="2"/>
        <v>Seed | Standard</v>
      </c>
    </row>
    <row r="104" ht="15.75" customHeight="1">
      <c r="A104" s="16" t="s">
        <v>218</v>
      </c>
      <c r="B104" s="14">
        <v>86.0</v>
      </c>
      <c r="C104" s="15"/>
      <c r="D104" s="16" t="s">
        <v>37</v>
      </c>
      <c r="E104" s="16" t="s">
        <v>48</v>
      </c>
      <c r="F104" s="16" t="s">
        <v>149</v>
      </c>
      <c r="G104" s="16" t="s">
        <v>39</v>
      </c>
      <c r="H104" s="14">
        <v>11.0</v>
      </c>
      <c r="I104" s="14">
        <v>5.0</v>
      </c>
      <c r="J104" s="16" t="s">
        <v>40</v>
      </c>
      <c r="K104" s="14">
        <v>75.0</v>
      </c>
      <c r="L104" s="16" t="s">
        <v>50</v>
      </c>
      <c r="M104" s="16" t="s">
        <v>51</v>
      </c>
      <c r="N104" s="16" t="s">
        <v>43</v>
      </c>
      <c r="O104" s="16" t="s">
        <v>116</v>
      </c>
      <c r="P104" s="16" t="s">
        <v>117</v>
      </c>
      <c r="Q104" s="20">
        <v>46219.0</v>
      </c>
      <c r="R104" s="16" t="s">
        <v>118</v>
      </c>
      <c r="S104" s="16" t="s">
        <v>119</v>
      </c>
      <c r="T104" s="19" t="str">
        <f t="shared" si="2"/>
        <v>Series A | Standard</v>
      </c>
    </row>
    <row r="105" ht="15.75" customHeight="1">
      <c r="A105" s="16" t="s">
        <v>219</v>
      </c>
      <c r="B105" s="14">
        <v>117.0</v>
      </c>
      <c r="C105" s="15"/>
      <c r="D105" s="16" t="s">
        <v>47</v>
      </c>
      <c r="E105" s="16" t="s">
        <v>57</v>
      </c>
      <c r="F105" s="16" t="s">
        <v>83</v>
      </c>
      <c r="G105" s="16" t="s">
        <v>29</v>
      </c>
      <c r="H105" s="14">
        <v>11.0</v>
      </c>
      <c r="I105" s="14">
        <v>7.0</v>
      </c>
      <c r="J105" s="16" t="s">
        <v>49</v>
      </c>
      <c r="K105" s="16"/>
      <c r="L105" s="16" t="s">
        <v>41</v>
      </c>
      <c r="M105" s="16" t="s">
        <v>42</v>
      </c>
      <c r="N105" s="16" t="s">
        <v>43</v>
      </c>
      <c r="O105" s="16" t="s">
        <v>116</v>
      </c>
      <c r="P105" s="16" t="s">
        <v>117</v>
      </c>
      <c r="Q105" s="20">
        <v>46219.0</v>
      </c>
      <c r="R105" s="16" t="s">
        <v>118</v>
      </c>
      <c r="S105" s="16" t="s">
        <v>119</v>
      </c>
      <c r="T105" s="19" t="str">
        <f t="shared" si="2"/>
        <v>Series B+ | High-cost</v>
      </c>
    </row>
    <row r="106" ht="15.75" customHeight="1">
      <c r="A106" s="16" t="s">
        <v>220</v>
      </c>
      <c r="B106" s="14">
        <v>34.0</v>
      </c>
      <c r="C106" s="15"/>
      <c r="D106" s="16" t="s">
        <v>37</v>
      </c>
      <c r="E106" s="16" t="s">
        <v>57</v>
      </c>
      <c r="F106" s="16" t="s">
        <v>83</v>
      </c>
      <c r="G106" s="16" t="s">
        <v>29</v>
      </c>
      <c r="H106" s="14">
        <v>15.0</v>
      </c>
      <c r="I106" s="14">
        <v>10.0</v>
      </c>
      <c r="J106" s="16" t="s">
        <v>49</v>
      </c>
      <c r="K106" s="16"/>
      <c r="L106" s="16" t="s">
        <v>50</v>
      </c>
      <c r="M106" s="16" t="s">
        <v>32</v>
      </c>
      <c r="N106" s="16" t="s">
        <v>52</v>
      </c>
      <c r="O106" s="16" t="s">
        <v>116</v>
      </c>
      <c r="P106" s="16" t="s">
        <v>117</v>
      </c>
      <c r="Q106" s="20">
        <v>46219.0</v>
      </c>
      <c r="R106" s="16" t="s">
        <v>118</v>
      </c>
      <c r="S106" s="16" t="s">
        <v>119</v>
      </c>
      <c r="T106" s="19" t="str">
        <f t="shared" si="2"/>
        <v>Series A | High-cost</v>
      </c>
    </row>
    <row r="107" ht="15.75" customHeight="1">
      <c r="A107" s="16" t="s">
        <v>221</v>
      </c>
      <c r="B107" s="14">
        <v>45.0</v>
      </c>
      <c r="C107" s="15"/>
      <c r="D107" s="16" t="s">
        <v>37</v>
      </c>
      <c r="E107" s="16" t="s">
        <v>48</v>
      </c>
      <c r="F107" s="16" t="s">
        <v>83</v>
      </c>
      <c r="G107" s="16" t="s">
        <v>29</v>
      </c>
      <c r="H107" s="14">
        <v>18.0</v>
      </c>
      <c r="I107" s="14">
        <v>9.0</v>
      </c>
      <c r="J107" s="16" t="s">
        <v>30</v>
      </c>
      <c r="K107" s="16"/>
      <c r="L107" s="16" t="s">
        <v>50</v>
      </c>
      <c r="M107" s="16" t="s">
        <v>32</v>
      </c>
      <c r="N107" s="16" t="s">
        <v>33</v>
      </c>
      <c r="O107" s="16" t="s">
        <v>116</v>
      </c>
      <c r="P107" s="16" t="s">
        <v>117</v>
      </c>
      <c r="Q107" s="20">
        <v>46219.0</v>
      </c>
      <c r="R107" s="16" t="s">
        <v>118</v>
      </c>
      <c r="S107" s="16" t="s">
        <v>119</v>
      </c>
      <c r="T107" s="19" t="str">
        <f t="shared" si="2"/>
        <v>Series A | High-cost</v>
      </c>
    </row>
    <row r="108" ht="15.75" customHeight="1">
      <c r="A108" s="16" t="s">
        <v>222</v>
      </c>
      <c r="B108" s="14">
        <v>156.0</v>
      </c>
      <c r="C108" s="15"/>
      <c r="D108" s="16" t="s">
        <v>47</v>
      </c>
      <c r="E108" s="16" t="s">
        <v>28</v>
      </c>
      <c r="F108" s="16" t="s">
        <v>101</v>
      </c>
      <c r="G108" s="16" t="s">
        <v>39</v>
      </c>
      <c r="H108" s="14">
        <v>20.0</v>
      </c>
      <c r="I108" s="14">
        <v>14.0</v>
      </c>
      <c r="J108" s="16" t="s">
        <v>40</v>
      </c>
      <c r="K108" s="14">
        <v>50.0</v>
      </c>
      <c r="L108" s="16" t="s">
        <v>31</v>
      </c>
      <c r="M108" s="16" t="s">
        <v>42</v>
      </c>
      <c r="N108" s="16" t="s">
        <v>33</v>
      </c>
      <c r="O108" s="16" t="s">
        <v>116</v>
      </c>
      <c r="P108" s="16" t="s">
        <v>117</v>
      </c>
      <c r="Q108" s="20">
        <v>46219.0</v>
      </c>
      <c r="R108" s="16" t="s">
        <v>118</v>
      </c>
      <c r="S108" s="16" t="s">
        <v>119</v>
      </c>
      <c r="T108" s="19" t="str">
        <f t="shared" si="2"/>
        <v>Series B+ | Standard</v>
      </c>
    </row>
    <row r="109" ht="15.75" customHeight="1">
      <c r="A109" s="16" t="s">
        <v>223</v>
      </c>
      <c r="B109" s="14">
        <v>38.0</v>
      </c>
      <c r="C109" s="15"/>
      <c r="D109" s="16" t="s">
        <v>27</v>
      </c>
      <c r="E109" s="16" t="s">
        <v>38</v>
      </c>
      <c r="F109" s="16" t="s">
        <v>149</v>
      </c>
      <c r="G109" s="16" t="s">
        <v>39</v>
      </c>
      <c r="H109" s="14">
        <v>9.0</v>
      </c>
      <c r="I109" s="14">
        <v>8.0</v>
      </c>
      <c r="J109" s="16" t="s">
        <v>49</v>
      </c>
      <c r="K109" s="16"/>
      <c r="L109" s="16" t="s">
        <v>50</v>
      </c>
      <c r="M109" s="16" t="s">
        <v>32</v>
      </c>
      <c r="N109" s="16" t="s">
        <v>52</v>
      </c>
      <c r="O109" s="16" t="s">
        <v>116</v>
      </c>
      <c r="P109" s="16" t="s">
        <v>117</v>
      </c>
      <c r="Q109" s="20">
        <v>46219.0</v>
      </c>
      <c r="R109" s="16" t="s">
        <v>118</v>
      </c>
      <c r="S109" s="16" t="s">
        <v>119</v>
      </c>
      <c r="T109" s="19" t="str">
        <f t="shared" si="2"/>
        <v>Seed | Standard</v>
      </c>
    </row>
    <row r="110" ht="15.75" customHeight="1">
      <c r="A110" s="16" t="s">
        <v>224</v>
      </c>
      <c r="B110" s="14">
        <v>12.0</v>
      </c>
      <c r="C110" s="15"/>
      <c r="D110" s="16" t="s">
        <v>27</v>
      </c>
      <c r="E110" s="16" t="s">
        <v>38</v>
      </c>
      <c r="F110" s="16" t="s">
        <v>131</v>
      </c>
      <c r="G110" s="16" t="s">
        <v>39</v>
      </c>
      <c r="H110" s="14">
        <v>10.0</v>
      </c>
      <c r="I110" s="14">
        <v>8.0</v>
      </c>
      <c r="J110" s="16" t="s">
        <v>30</v>
      </c>
      <c r="K110" s="16"/>
      <c r="L110" s="16" t="s">
        <v>31</v>
      </c>
      <c r="M110" s="16" t="s">
        <v>32</v>
      </c>
      <c r="N110" s="16" t="s">
        <v>33</v>
      </c>
      <c r="O110" s="16" t="s">
        <v>116</v>
      </c>
      <c r="P110" s="16" t="s">
        <v>117</v>
      </c>
      <c r="Q110" s="20">
        <v>46219.0</v>
      </c>
      <c r="R110" s="16" t="s">
        <v>118</v>
      </c>
      <c r="S110" s="16" t="s">
        <v>119</v>
      </c>
      <c r="T110" s="19" t="str">
        <f t="shared" si="2"/>
        <v>Seed | Standard</v>
      </c>
    </row>
    <row r="111" ht="15.75" customHeight="1">
      <c r="A111" s="16" t="s">
        <v>225</v>
      </c>
      <c r="B111" s="14">
        <v>17.0</v>
      </c>
      <c r="C111" s="15"/>
      <c r="D111" s="16" t="s">
        <v>37</v>
      </c>
      <c r="E111" s="16" t="s">
        <v>38</v>
      </c>
      <c r="F111" s="16" t="s">
        <v>91</v>
      </c>
      <c r="G111" s="16" t="s">
        <v>39</v>
      </c>
      <c r="H111" s="14">
        <v>8.0</v>
      </c>
      <c r="I111" s="14">
        <v>5.0</v>
      </c>
      <c r="J111" s="16" t="s">
        <v>40</v>
      </c>
      <c r="K111" s="14">
        <v>80.0</v>
      </c>
      <c r="L111" s="16" t="s">
        <v>31</v>
      </c>
      <c r="M111" s="16" t="s">
        <v>51</v>
      </c>
      <c r="N111" s="16" t="s">
        <v>33</v>
      </c>
      <c r="O111" s="16" t="s">
        <v>116</v>
      </c>
      <c r="P111" s="16" t="s">
        <v>117</v>
      </c>
      <c r="Q111" s="20">
        <v>46219.0</v>
      </c>
      <c r="R111" s="16" t="s">
        <v>118</v>
      </c>
      <c r="S111" s="16" t="s">
        <v>119</v>
      </c>
      <c r="T111" s="19" t="str">
        <f t="shared" si="2"/>
        <v>Series A | Standard</v>
      </c>
    </row>
    <row r="112" ht="15.75" customHeight="1">
      <c r="A112" s="16" t="s">
        <v>226</v>
      </c>
      <c r="B112" s="14">
        <v>28.0</v>
      </c>
      <c r="C112" s="15"/>
      <c r="D112" s="16" t="s">
        <v>37</v>
      </c>
      <c r="E112" s="16" t="s">
        <v>57</v>
      </c>
      <c r="F112" s="16" t="s">
        <v>131</v>
      </c>
      <c r="G112" s="16" t="s">
        <v>39</v>
      </c>
      <c r="H112" s="14">
        <v>11.0</v>
      </c>
      <c r="I112" s="14">
        <v>4.0</v>
      </c>
      <c r="J112" s="16" t="s">
        <v>40</v>
      </c>
      <c r="K112" s="14">
        <v>80.0</v>
      </c>
      <c r="L112" s="16" t="s">
        <v>50</v>
      </c>
      <c r="M112" s="16" t="s">
        <v>42</v>
      </c>
      <c r="N112" s="16" t="s">
        <v>43</v>
      </c>
      <c r="O112" s="16" t="s">
        <v>116</v>
      </c>
      <c r="P112" s="16" t="s">
        <v>117</v>
      </c>
      <c r="Q112" s="20">
        <v>46219.0</v>
      </c>
      <c r="R112" s="16" t="s">
        <v>118</v>
      </c>
      <c r="S112" s="16" t="s">
        <v>119</v>
      </c>
      <c r="T112" s="19" t="str">
        <f t="shared" si="2"/>
        <v>Series A | Standard</v>
      </c>
    </row>
    <row r="113" ht="15.75" customHeight="1">
      <c r="A113" s="16" t="s">
        <v>227</v>
      </c>
      <c r="B113" s="14">
        <v>142.0</v>
      </c>
      <c r="C113" s="15"/>
      <c r="D113" s="16" t="s">
        <v>47</v>
      </c>
      <c r="E113" s="16" t="s">
        <v>57</v>
      </c>
      <c r="F113" s="16" t="s">
        <v>83</v>
      </c>
      <c r="G113" s="16" t="s">
        <v>29</v>
      </c>
      <c r="H113" s="14">
        <v>17.0</v>
      </c>
      <c r="I113" s="14">
        <v>15.0</v>
      </c>
      <c r="J113" s="16" t="s">
        <v>49</v>
      </c>
      <c r="K113" s="16"/>
      <c r="L113" s="16" t="s">
        <v>31</v>
      </c>
      <c r="M113" s="16" t="s">
        <v>32</v>
      </c>
      <c r="N113" s="16" t="s">
        <v>33</v>
      </c>
      <c r="O113" s="16" t="s">
        <v>116</v>
      </c>
      <c r="P113" s="16" t="s">
        <v>117</v>
      </c>
      <c r="Q113" s="20">
        <v>46219.0</v>
      </c>
      <c r="R113" s="16" t="s">
        <v>118</v>
      </c>
      <c r="S113" s="16" t="s">
        <v>119</v>
      </c>
      <c r="T113" s="19" t="str">
        <f t="shared" si="2"/>
        <v>Series B+ | High-cost</v>
      </c>
    </row>
    <row r="114" ht="15.75" customHeight="1">
      <c r="A114" s="16" t="s">
        <v>228</v>
      </c>
      <c r="B114" s="14">
        <v>40.0</v>
      </c>
      <c r="C114" s="15"/>
      <c r="D114" s="16" t="s">
        <v>27</v>
      </c>
      <c r="E114" s="16" t="s">
        <v>63</v>
      </c>
      <c r="F114" s="16" t="s">
        <v>122</v>
      </c>
      <c r="G114" s="16" t="s">
        <v>39</v>
      </c>
      <c r="H114" s="14">
        <v>12.0</v>
      </c>
      <c r="I114" s="14">
        <v>6.0</v>
      </c>
      <c r="J114" s="16" t="s">
        <v>30</v>
      </c>
      <c r="K114" s="16"/>
      <c r="L114" s="16" t="s">
        <v>59</v>
      </c>
      <c r="M114" s="16" t="s">
        <v>51</v>
      </c>
      <c r="N114" s="16" t="s">
        <v>43</v>
      </c>
      <c r="O114" s="16" t="s">
        <v>116</v>
      </c>
      <c r="P114" s="16" t="s">
        <v>117</v>
      </c>
      <c r="Q114" s="20">
        <v>46219.0</v>
      </c>
      <c r="R114" s="16" t="s">
        <v>118</v>
      </c>
      <c r="S114" s="16" t="s">
        <v>119</v>
      </c>
      <c r="T114" s="19" t="str">
        <f t="shared" si="2"/>
        <v>Seed | Standard</v>
      </c>
    </row>
    <row r="115" ht="15.75" customHeight="1">
      <c r="A115" s="16" t="s">
        <v>229</v>
      </c>
      <c r="B115" s="14">
        <v>181.0</v>
      </c>
      <c r="C115" s="15"/>
      <c r="D115" s="16" t="s">
        <v>47</v>
      </c>
      <c r="E115" s="16" t="s">
        <v>38</v>
      </c>
      <c r="F115" s="16" t="s">
        <v>129</v>
      </c>
      <c r="G115" s="16" t="s">
        <v>39</v>
      </c>
      <c r="H115" s="14">
        <v>17.0</v>
      </c>
      <c r="I115" s="14">
        <v>7.0</v>
      </c>
      <c r="J115" s="16" t="s">
        <v>30</v>
      </c>
      <c r="K115" s="16"/>
      <c r="L115" s="16" t="s">
        <v>59</v>
      </c>
      <c r="M115" s="16" t="s">
        <v>42</v>
      </c>
      <c r="N115" s="16" t="s">
        <v>43</v>
      </c>
      <c r="O115" s="16" t="s">
        <v>116</v>
      </c>
      <c r="P115" s="16" t="s">
        <v>117</v>
      </c>
      <c r="Q115" s="20">
        <v>46219.0</v>
      </c>
      <c r="R115" s="16" t="s">
        <v>118</v>
      </c>
      <c r="S115" s="16" t="s">
        <v>119</v>
      </c>
      <c r="T115" s="19" t="str">
        <f t="shared" si="2"/>
        <v>Series B+ | Standard</v>
      </c>
    </row>
    <row r="116" ht="15.75" customHeight="1">
      <c r="A116" s="16" t="s">
        <v>230</v>
      </c>
      <c r="B116" s="14">
        <v>47.0</v>
      </c>
      <c r="C116" s="15"/>
      <c r="D116" s="16" t="s">
        <v>37</v>
      </c>
      <c r="E116" s="16" t="s">
        <v>48</v>
      </c>
      <c r="F116" s="16" t="s">
        <v>133</v>
      </c>
      <c r="G116" s="16" t="s">
        <v>29</v>
      </c>
      <c r="H116" s="14">
        <v>18.0</v>
      </c>
      <c r="I116" s="14">
        <v>11.0</v>
      </c>
      <c r="J116" s="16" t="s">
        <v>30</v>
      </c>
      <c r="K116" s="16"/>
      <c r="L116" s="16" t="s">
        <v>31</v>
      </c>
      <c r="M116" s="16" t="s">
        <v>32</v>
      </c>
      <c r="N116" s="16" t="s">
        <v>43</v>
      </c>
      <c r="O116" s="16" t="s">
        <v>116</v>
      </c>
      <c r="P116" s="16" t="s">
        <v>117</v>
      </c>
      <c r="Q116" s="20">
        <v>46219.0</v>
      </c>
      <c r="R116" s="16" t="s">
        <v>118</v>
      </c>
      <c r="S116" s="16" t="s">
        <v>119</v>
      </c>
      <c r="T116" s="19" t="str">
        <f t="shared" si="2"/>
        <v>Series A | High-cost</v>
      </c>
    </row>
    <row r="117" ht="15.75" customHeight="1">
      <c r="A117" s="16" t="s">
        <v>231</v>
      </c>
      <c r="B117" s="14">
        <v>182.0</v>
      </c>
      <c r="C117" s="15"/>
      <c r="D117" s="16" t="s">
        <v>47</v>
      </c>
      <c r="E117" s="16" t="s">
        <v>28</v>
      </c>
      <c r="F117" s="16" t="s">
        <v>149</v>
      </c>
      <c r="G117" s="16" t="s">
        <v>39</v>
      </c>
      <c r="H117" s="14">
        <v>18.0</v>
      </c>
      <c r="I117" s="14">
        <v>12.0</v>
      </c>
      <c r="J117" s="16" t="s">
        <v>30</v>
      </c>
      <c r="K117" s="16"/>
      <c r="L117" s="16" t="s">
        <v>31</v>
      </c>
      <c r="M117" s="16" t="s">
        <v>42</v>
      </c>
      <c r="N117" s="16" t="s">
        <v>33</v>
      </c>
      <c r="O117" s="16" t="s">
        <v>116</v>
      </c>
      <c r="P117" s="16" t="s">
        <v>117</v>
      </c>
      <c r="Q117" s="20">
        <v>46219.0</v>
      </c>
      <c r="R117" s="16" t="s">
        <v>118</v>
      </c>
      <c r="S117" s="16" t="s">
        <v>119</v>
      </c>
      <c r="T117" s="19" t="str">
        <f t="shared" si="2"/>
        <v>Series B+ | Standard</v>
      </c>
    </row>
    <row r="118" ht="15.75" customHeight="1">
      <c r="A118" s="16" t="s">
        <v>232</v>
      </c>
      <c r="B118" s="14">
        <v>53.0</v>
      </c>
      <c r="C118" s="15"/>
      <c r="D118" s="16" t="s">
        <v>47</v>
      </c>
      <c r="E118" s="16" t="s">
        <v>48</v>
      </c>
      <c r="F118" s="16" t="s">
        <v>149</v>
      </c>
      <c r="G118" s="16" t="s">
        <v>39</v>
      </c>
      <c r="H118" s="14">
        <v>14.0</v>
      </c>
      <c r="I118" s="14">
        <v>9.0</v>
      </c>
      <c r="J118" s="16" t="s">
        <v>30</v>
      </c>
      <c r="K118" s="16"/>
      <c r="L118" s="16" t="s">
        <v>41</v>
      </c>
      <c r="M118" s="16" t="s">
        <v>32</v>
      </c>
      <c r="N118" s="16" t="s">
        <v>52</v>
      </c>
      <c r="O118" s="16" t="s">
        <v>116</v>
      </c>
      <c r="P118" s="16" t="s">
        <v>117</v>
      </c>
      <c r="Q118" s="20">
        <v>46219.0</v>
      </c>
      <c r="R118" s="16" t="s">
        <v>118</v>
      </c>
      <c r="S118" s="16" t="s">
        <v>119</v>
      </c>
      <c r="T118" s="19" t="str">
        <f t="shared" si="2"/>
        <v>Series B+ | Standard</v>
      </c>
    </row>
    <row r="119" ht="15.75" customHeight="1">
      <c r="A119" s="16" t="s">
        <v>233</v>
      </c>
      <c r="B119" s="14">
        <v>50.0</v>
      </c>
      <c r="C119" s="15"/>
      <c r="D119" s="16" t="s">
        <v>37</v>
      </c>
      <c r="E119" s="16" t="s">
        <v>63</v>
      </c>
      <c r="F119" s="16" t="s">
        <v>101</v>
      </c>
      <c r="G119" s="16" t="s">
        <v>39</v>
      </c>
      <c r="H119" s="14">
        <v>14.0</v>
      </c>
      <c r="I119" s="14">
        <v>12.0</v>
      </c>
      <c r="J119" s="16" t="s">
        <v>58</v>
      </c>
      <c r="K119" s="16"/>
      <c r="L119" s="16" t="s">
        <v>31</v>
      </c>
      <c r="M119" s="16" t="s">
        <v>51</v>
      </c>
      <c r="N119" s="16" t="s">
        <v>60</v>
      </c>
      <c r="O119" s="16" t="s">
        <v>116</v>
      </c>
      <c r="P119" s="16" t="s">
        <v>117</v>
      </c>
      <c r="Q119" s="20">
        <v>46219.0</v>
      </c>
      <c r="R119" s="16" t="s">
        <v>118</v>
      </c>
      <c r="S119" s="16" t="s">
        <v>119</v>
      </c>
      <c r="T119" s="19" t="str">
        <f t="shared" si="2"/>
        <v>Series A | Standard</v>
      </c>
    </row>
    <row r="120" ht="15.75" customHeight="1">
      <c r="A120" s="16" t="s">
        <v>234</v>
      </c>
      <c r="B120" s="14">
        <v>20.0</v>
      </c>
      <c r="C120" s="15"/>
      <c r="D120" s="16" t="s">
        <v>27</v>
      </c>
      <c r="E120" s="16" t="s">
        <v>48</v>
      </c>
      <c r="F120" s="16" t="s">
        <v>122</v>
      </c>
      <c r="G120" s="16" t="s">
        <v>39</v>
      </c>
      <c r="H120" s="14">
        <v>11.0</v>
      </c>
      <c r="I120" s="14">
        <v>2.0</v>
      </c>
      <c r="J120" s="16" t="s">
        <v>30</v>
      </c>
      <c r="K120" s="16"/>
      <c r="L120" s="16" t="s">
        <v>41</v>
      </c>
      <c r="M120" s="16" t="s">
        <v>51</v>
      </c>
      <c r="N120" s="16" t="s">
        <v>52</v>
      </c>
      <c r="O120" s="16" t="s">
        <v>116</v>
      </c>
      <c r="P120" s="16" t="s">
        <v>117</v>
      </c>
      <c r="Q120" s="20">
        <v>46219.0</v>
      </c>
      <c r="R120" s="16" t="s">
        <v>118</v>
      </c>
      <c r="S120" s="16" t="s">
        <v>119</v>
      </c>
      <c r="T120" s="19" t="str">
        <f t="shared" si="2"/>
        <v>Seed | Standard</v>
      </c>
    </row>
    <row r="121" ht="15.75" customHeight="1">
      <c r="A121" s="16" t="s">
        <v>235</v>
      </c>
      <c r="B121" s="14">
        <v>47.0</v>
      </c>
      <c r="C121" s="15"/>
      <c r="D121" s="16" t="s">
        <v>47</v>
      </c>
      <c r="E121" s="16" t="s">
        <v>28</v>
      </c>
      <c r="F121" s="16" t="s">
        <v>131</v>
      </c>
      <c r="G121" s="16" t="s">
        <v>39</v>
      </c>
      <c r="H121" s="14">
        <v>13.0</v>
      </c>
      <c r="I121" s="14">
        <v>10.0</v>
      </c>
      <c r="J121" s="16" t="s">
        <v>30</v>
      </c>
      <c r="K121" s="16"/>
      <c r="L121" s="16" t="s">
        <v>50</v>
      </c>
      <c r="M121" s="16" t="s">
        <v>32</v>
      </c>
      <c r="N121" s="16" t="s">
        <v>33</v>
      </c>
      <c r="O121" s="16" t="s">
        <v>116</v>
      </c>
      <c r="P121" s="16" t="s">
        <v>117</v>
      </c>
      <c r="Q121" s="20">
        <v>46219.0</v>
      </c>
      <c r="R121" s="16" t="s">
        <v>118</v>
      </c>
      <c r="S121" s="16" t="s">
        <v>119</v>
      </c>
      <c r="T121" s="19" t="str">
        <f t="shared" si="2"/>
        <v>Series B+ | Standard</v>
      </c>
    </row>
    <row r="122" ht="15.75" customHeight="1">
      <c r="A122" s="16" t="s">
        <v>236</v>
      </c>
      <c r="B122" s="14">
        <v>185.0</v>
      </c>
      <c r="C122" s="15"/>
      <c r="D122" s="16" t="s">
        <v>47</v>
      </c>
      <c r="E122" s="16" t="s">
        <v>63</v>
      </c>
      <c r="F122" s="16" t="s">
        <v>83</v>
      </c>
      <c r="G122" s="16" t="s">
        <v>29</v>
      </c>
      <c r="H122" s="14">
        <v>24.0</v>
      </c>
      <c r="I122" s="14">
        <v>4.0</v>
      </c>
      <c r="J122" s="16" t="s">
        <v>30</v>
      </c>
      <c r="K122" s="16"/>
      <c r="L122" s="16" t="s">
        <v>31</v>
      </c>
      <c r="M122" s="16" t="s">
        <v>51</v>
      </c>
      <c r="N122" s="16" t="s">
        <v>33</v>
      </c>
      <c r="O122" s="16" t="s">
        <v>116</v>
      </c>
      <c r="P122" s="16" t="s">
        <v>117</v>
      </c>
      <c r="Q122" s="20">
        <v>46219.0</v>
      </c>
      <c r="R122" s="16" t="s">
        <v>118</v>
      </c>
      <c r="S122" s="16" t="s">
        <v>119</v>
      </c>
      <c r="T122" s="19" t="str">
        <f t="shared" si="2"/>
        <v>Series B+ | High-cost</v>
      </c>
    </row>
    <row r="123" ht="15.75" customHeight="1">
      <c r="A123" s="16" t="s">
        <v>237</v>
      </c>
      <c r="B123" s="14">
        <v>71.0</v>
      </c>
      <c r="C123" s="15"/>
      <c r="D123" s="16" t="s">
        <v>37</v>
      </c>
      <c r="E123" s="16" t="s">
        <v>57</v>
      </c>
      <c r="F123" s="16" t="s">
        <v>91</v>
      </c>
      <c r="G123" s="16" t="s">
        <v>39</v>
      </c>
      <c r="H123" s="14">
        <v>11.0</v>
      </c>
      <c r="I123" s="14">
        <v>5.0</v>
      </c>
      <c r="J123" s="16" t="s">
        <v>30</v>
      </c>
      <c r="K123" s="16"/>
      <c r="L123" s="16" t="s">
        <v>31</v>
      </c>
      <c r="M123" s="16" t="s">
        <v>42</v>
      </c>
      <c r="N123" s="16" t="s">
        <v>52</v>
      </c>
      <c r="O123" s="16" t="s">
        <v>116</v>
      </c>
      <c r="P123" s="16" t="s">
        <v>117</v>
      </c>
      <c r="Q123" s="20">
        <v>46219.0</v>
      </c>
      <c r="R123" s="16" t="s">
        <v>118</v>
      </c>
      <c r="S123" s="16" t="s">
        <v>119</v>
      </c>
      <c r="T123" s="19" t="str">
        <f t="shared" si="2"/>
        <v>Series A | Standard</v>
      </c>
    </row>
    <row r="124" ht="15.75" customHeight="1">
      <c r="A124" s="16" t="s">
        <v>238</v>
      </c>
      <c r="B124" s="14">
        <v>54.0</v>
      </c>
      <c r="C124" s="15"/>
      <c r="D124" s="16" t="s">
        <v>37</v>
      </c>
      <c r="E124" s="16" t="s">
        <v>28</v>
      </c>
      <c r="F124" s="16" t="s">
        <v>101</v>
      </c>
      <c r="G124" s="16" t="s">
        <v>39</v>
      </c>
      <c r="H124" s="14">
        <v>14.0</v>
      </c>
      <c r="I124" s="14">
        <v>4.0</v>
      </c>
      <c r="J124" s="16" t="s">
        <v>30</v>
      </c>
      <c r="K124" s="16"/>
      <c r="L124" s="16" t="s">
        <v>50</v>
      </c>
      <c r="M124" s="16" t="s">
        <v>32</v>
      </c>
      <c r="N124" s="16" t="s">
        <v>52</v>
      </c>
      <c r="O124" s="16" t="s">
        <v>116</v>
      </c>
      <c r="P124" s="16" t="s">
        <v>117</v>
      </c>
      <c r="Q124" s="20">
        <v>46219.0</v>
      </c>
      <c r="R124" s="16" t="s">
        <v>118</v>
      </c>
      <c r="S124" s="16" t="s">
        <v>119</v>
      </c>
      <c r="T124" s="19" t="str">
        <f t="shared" si="2"/>
        <v>Series A | Standard</v>
      </c>
    </row>
    <row r="125" ht="15.75" customHeight="1">
      <c r="A125" s="16" t="s">
        <v>239</v>
      </c>
      <c r="B125" s="14">
        <v>10.0</v>
      </c>
      <c r="C125" s="15"/>
      <c r="D125" s="16" t="s">
        <v>27</v>
      </c>
      <c r="E125" s="16" t="s">
        <v>28</v>
      </c>
      <c r="F125" s="16" t="s">
        <v>126</v>
      </c>
      <c r="G125" s="16" t="s">
        <v>39</v>
      </c>
      <c r="H125" s="14">
        <v>12.0</v>
      </c>
      <c r="I125" s="14">
        <v>3.0</v>
      </c>
      <c r="J125" s="16" t="s">
        <v>30</v>
      </c>
      <c r="K125" s="16"/>
      <c r="L125" s="16" t="s">
        <v>41</v>
      </c>
      <c r="M125" s="16" t="s">
        <v>51</v>
      </c>
      <c r="N125" s="16" t="s">
        <v>43</v>
      </c>
      <c r="O125" s="16" t="s">
        <v>116</v>
      </c>
      <c r="P125" s="16" t="s">
        <v>117</v>
      </c>
      <c r="Q125" s="20">
        <v>46219.0</v>
      </c>
      <c r="R125" s="16" t="s">
        <v>118</v>
      </c>
      <c r="S125" s="16" t="s">
        <v>119</v>
      </c>
      <c r="T125" s="19" t="str">
        <f t="shared" si="2"/>
        <v>Seed | Standard</v>
      </c>
    </row>
    <row r="126" ht="15.75" customHeight="1">
      <c r="A126" s="16" t="s">
        <v>240</v>
      </c>
      <c r="B126" s="14">
        <v>5.0</v>
      </c>
      <c r="C126" s="15"/>
      <c r="D126" s="16" t="s">
        <v>27</v>
      </c>
      <c r="E126" s="16" t="s">
        <v>57</v>
      </c>
      <c r="F126" s="16" t="s">
        <v>87</v>
      </c>
      <c r="G126" s="16" t="s">
        <v>29</v>
      </c>
      <c r="H126" s="14">
        <v>13.0</v>
      </c>
      <c r="I126" s="14">
        <v>2.0</v>
      </c>
      <c r="J126" s="16" t="s">
        <v>49</v>
      </c>
      <c r="K126" s="16"/>
      <c r="L126" s="16" t="s">
        <v>59</v>
      </c>
      <c r="M126" s="16" t="s">
        <v>51</v>
      </c>
      <c r="N126" s="16" t="s">
        <v>43</v>
      </c>
      <c r="O126" s="16" t="s">
        <v>116</v>
      </c>
      <c r="P126" s="16" t="s">
        <v>117</v>
      </c>
      <c r="Q126" s="20">
        <v>46219.0</v>
      </c>
      <c r="R126" s="16" t="s">
        <v>118</v>
      </c>
      <c r="S126" s="16" t="s">
        <v>119</v>
      </c>
      <c r="T126" s="19" t="str">
        <f t="shared" si="2"/>
        <v>Seed | High-cost</v>
      </c>
    </row>
    <row r="127" ht="15.75" customHeight="1">
      <c r="A127" s="16" t="s">
        <v>241</v>
      </c>
      <c r="B127" s="14">
        <v>56.0</v>
      </c>
      <c r="C127" s="15"/>
      <c r="D127" s="16" t="s">
        <v>37</v>
      </c>
      <c r="E127" s="16" t="s">
        <v>38</v>
      </c>
      <c r="F127" s="16" t="s">
        <v>149</v>
      </c>
      <c r="G127" s="16" t="s">
        <v>39</v>
      </c>
      <c r="H127" s="14">
        <v>15.0</v>
      </c>
      <c r="I127" s="14">
        <v>9.0</v>
      </c>
      <c r="J127" s="16" t="s">
        <v>30</v>
      </c>
      <c r="K127" s="16"/>
      <c r="L127" s="16" t="s">
        <v>31</v>
      </c>
      <c r="M127" s="16" t="s">
        <v>32</v>
      </c>
      <c r="N127" s="16" t="s">
        <v>43</v>
      </c>
      <c r="O127" s="16" t="s">
        <v>116</v>
      </c>
      <c r="P127" s="16" t="s">
        <v>117</v>
      </c>
      <c r="Q127" s="20">
        <v>46219.0</v>
      </c>
      <c r="R127" s="16" t="s">
        <v>118</v>
      </c>
      <c r="S127" s="16" t="s">
        <v>119</v>
      </c>
      <c r="T127" s="19" t="str">
        <f t="shared" si="2"/>
        <v>Series A | Standard</v>
      </c>
    </row>
    <row r="128" ht="15.75" customHeight="1">
      <c r="A128" s="16" t="s">
        <v>242</v>
      </c>
      <c r="B128" s="14">
        <v>22.0</v>
      </c>
      <c r="C128" s="15"/>
      <c r="D128" s="16" t="s">
        <v>27</v>
      </c>
      <c r="E128" s="16" t="s">
        <v>48</v>
      </c>
      <c r="F128" s="16" t="s">
        <v>101</v>
      </c>
      <c r="G128" s="16" t="s">
        <v>39</v>
      </c>
      <c r="H128" s="14">
        <v>11.0</v>
      </c>
      <c r="I128" s="14">
        <v>8.0</v>
      </c>
      <c r="J128" s="16" t="s">
        <v>30</v>
      </c>
      <c r="K128" s="16"/>
      <c r="L128" s="16" t="s">
        <v>31</v>
      </c>
      <c r="M128" s="16" t="s">
        <v>51</v>
      </c>
      <c r="N128" s="16" t="s">
        <v>43</v>
      </c>
      <c r="O128" s="16" t="s">
        <v>116</v>
      </c>
      <c r="P128" s="16" t="s">
        <v>117</v>
      </c>
      <c r="Q128" s="20">
        <v>46219.0</v>
      </c>
      <c r="R128" s="16" t="s">
        <v>118</v>
      </c>
      <c r="S128" s="16" t="s">
        <v>119</v>
      </c>
      <c r="T128" s="19" t="str">
        <f t="shared" si="2"/>
        <v>Seed | Standard</v>
      </c>
    </row>
    <row r="129" ht="15.75" customHeight="1">
      <c r="A129" s="16" t="s">
        <v>243</v>
      </c>
      <c r="B129" s="14">
        <v>33.0</v>
      </c>
      <c r="C129" s="15"/>
      <c r="D129" s="16" t="s">
        <v>37</v>
      </c>
      <c r="E129" s="16" t="s">
        <v>38</v>
      </c>
      <c r="F129" s="16" t="s">
        <v>83</v>
      </c>
      <c r="G129" s="16" t="s">
        <v>29</v>
      </c>
      <c r="H129" s="14">
        <v>10.0</v>
      </c>
      <c r="I129" s="14">
        <v>6.0</v>
      </c>
      <c r="J129" s="16" t="s">
        <v>30</v>
      </c>
      <c r="K129" s="16"/>
      <c r="L129" s="16" t="s">
        <v>41</v>
      </c>
      <c r="M129" s="16" t="s">
        <v>51</v>
      </c>
      <c r="N129" s="16" t="s">
        <v>33</v>
      </c>
      <c r="O129" s="16" t="s">
        <v>116</v>
      </c>
      <c r="P129" s="16" t="s">
        <v>117</v>
      </c>
      <c r="Q129" s="20">
        <v>46219.0</v>
      </c>
      <c r="R129" s="16" t="s">
        <v>118</v>
      </c>
      <c r="S129" s="16" t="s">
        <v>119</v>
      </c>
      <c r="T129" s="19" t="str">
        <f t="shared" si="2"/>
        <v>Series A | High-cost</v>
      </c>
    </row>
    <row r="130" ht="15.75" customHeight="1">
      <c r="A130" s="16" t="s">
        <v>244</v>
      </c>
      <c r="B130" s="14">
        <v>87.0</v>
      </c>
      <c r="C130" s="15"/>
      <c r="D130" s="16" t="s">
        <v>37</v>
      </c>
      <c r="E130" s="16" t="s">
        <v>63</v>
      </c>
      <c r="F130" s="16" t="s">
        <v>126</v>
      </c>
      <c r="G130" s="16" t="s">
        <v>39</v>
      </c>
      <c r="H130" s="14">
        <v>18.0</v>
      </c>
      <c r="I130" s="14">
        <v>9.0</v>
      </c>
      <c r="J130" s="16" t="s">
        <v>49</v>
      </c>
      <c r="K130" s="16"/>
      <c r="L130" s="16" t="s">
        <v>50</v>
      </c>
      <c r="M130" s="16" t="s">
        <v>32</v>
      </c>
      <c r="N130" s="16" t="s">
        <v>43</v>
      </c>
      <c r="O130" s="16" t="s">
        <v>116</v>
      </c>
      <c r="P130" s="16" t="s">
        <v>117</v>
      </c>
      <c r="Q130" s="20">
        <v>46219.0</v>
      </c>
      <c r="R130" s="16" t="s">
        <v>118</v>
      </c>
      <c r="S130" s="16" t="s">
        <v>119</v>
      </c>
      <c r="T130" s="19" t="str">
        <f t="shared" si="2"/>
        <v>Series A | Standard</v>
      </c>
    </row>
    <row r="131" ht="15.75" customHeight="1">
      <c r="A131" s="16" t="s">
        <v>245</v>
      </c>
      <c r="B131" s="14">
        <v>60.0</v>
      </c>
      <c r="C131" s="15"/>
      <c r="D131" s="16" t="s">
        <v>37</v>
      </c>
      <c r="E131" s="16" t="s">
        <v>63</v>
      </c>
      <c r="F131" s="16" t="s">
        <v>83</v>
      </c>
      <c r="G131" s="16" t="s">
        <v>29</v>
      </c>
      <c r="H131" s="14">
        <v>12.0</v>
      </c>
      <c r="I131" s="14">
        <v>11.0</v>
      </c>
      <c r="J131" s="16" t="s">
        <v>30</v>
      </c>
      <c r="K131" s="16"/>
      <c r="L131" s="16" t="s">
        <v>31</v>
      </c>
      <c r="M131" s="16" t="s">
        <v>42</v>
      </c>
      <c r="N131" s="16" t="s">
        <v>52</v>
      </c>
      <c r="O131" s="16" t="s">
        <v>116</v>
      </c>
      <c r="P131" s="16" t="s">
        <v>117</v>
      </c>
      <c r="Q131" s="20">
        <v>46219.0</v>
      </c>
      <c r="R131" s="16" t="s">
        <v>118</v>
      </c>
      <c r="S131" s="16" t="s">
        <v>119</v>
      </c>
      <c r="T131" s="19" t="str">
        <f t="shared" si="2"/>
        <v>Series A | High-cost</v>
      </c>
    </row>
    <row r="132" ht="15.75" customHeight="1">
      <c r="A132" s="16" t="s">
        <v>246</v>
      </c>
      <c r="B132" s="14">
        <v>79.0</v>
      </c>
      <c r="C132" s="15"/>
      <c r="D132" s="16" t="s">
        <v>37</v>
      </c>
      <c r="E132" s="16" t="s">
        <v>57</v>
      </c>
      <c r="F132" s="16" t="s">
        <v>126</v>
      </c>
      <c r="G132" s="16" t="s">
        <v>39</v>
      </c>
      <c r="H132" s="14">
        <v>17.0</v>
      </c>
      <c r="I132" s="14">
        <v>12.0</v>
      </c>
      <c r="J132" s="16" t="s">
        <v>58</v>
      </c>
      <c r="K132" s="16"/>
      <c r="L132" s="16" t="s">
        <v>31</v>
      </c>
      <c r="M132" s="16" t="s">
        <v>42</v>
      </c>
      <c r="N132" s="16" t="s">
        <v>60</v>
      </c>
      <c r="O132" s="16" t="s">
        <v>116</v>
      </c>
      <c r="P132" s="16" t="s">
        <v>117</v>
      </c>
      <c r="Q132" s="20">
        <v>46219.0</v>
      </c>
      <c r="R132" s="16" t="s">
        <v>118</v>
      </c>
      <c r="S132" s="16" t="s">
        <v>119</v>
      </c>
      <c r="T132" s="19" t="str">
        <f t="shared" si="2"/>
        <v>Series A | Standard</v>
      </c>
    </row>
    <row r="133" ht="15.75" customHeight="1">
      <c r="A133" s="16" t="s">
        <v>247</v>
      </c>
      <c r="B133" s="14">
        <v>33.0</v>
      </c>
      <c r="C133" s="15"/>
      <c r="D133" s="16" t="s">
        <v>27</v>
      </c>
      <c r="E133" s="16" t="s">
        <v>63</v>
      </c>
      <c r="F133" s="16" t="s">
        <v>133</v>
      </c>
      <c r="G133" s="16" t="s">
        <v>29</v>
      </c>
      <c r="H133" s="14">
        <v>6.0</v>
      </c>
      <c r="I133" s="14">
        <v>5.0</v>
      </c>
      <c r="J133" s="16" t="s">
        <v>30</v>
      </c>
      <c r="K133" s="16"/>
      <c r="L133" s="16" t="s">
        <v>50</v>
      </c>
      <c r="M133" s="16" t="s">
        <v>51</v>
      </c>
      <c r="N133" s="16" t="s">
        <v>33</v>
      </c>
      <c r="O133" s="16" t="s">
        <v>116</v>
      </c>
      <c r="P133" s="16" t="s">
        <v>117</v>
      </c>
      <c r="Q133" s="20">
        <v>46219.0</v>
      </c>
      <c r="R133" s="16" t="s">
        <v>118</v>
      </c>
      <c r="S133" s="16" t="s">
        <v>119</v>
      </c>
      <c r="T133" s="19" t="str">
        <f t="shared" si="2"/>
        <v>Seed | High-cost</v>
      </c>
    </row>
    <row r="134" ht="15.75" customHeight="1">
      <c r="A134" s="16" t="s">
        <v>248</v>
      </c>
      <c r="B134" s="14">
        <v>31.0</v>
      </c>
      <c r="C134" s="15"/>
      <c r="D134" s="16" t="s">
        <v>27</v>
      </c>
      <c r="E134" s="16" t="s">
        <v>57</v>
      </c>
      <c r="F134" s="16" t="s">
        <v>131</v>
      </c>
      <c r="G134" s="16" t="s">
        <v>39</v>
      </c>
      <c r="H134" s="14">
        <v>14.0</v>
      </c>
      <c r="I134" s="14">
        <v>6.0</v>
      </c>
      <c r="J134" s="16" t="s">
        <v>30</v>
      </c>
      <c r="K134" s="16"/>
      <c r="L134" s="16" t="s">
        <v>50</v>
      </c>
      <c r="M134" s="16" t="s">
        <v>42</v>
      </c>
      <c r="N134" s="16" t="s">
        <v>33</v>
      </c>
      <c r="O134" s="16" t="s">
        <v>116</v>
      </c>
      <c r="P134" s="16" t="s">
        <v>117</v>
      </c>
      <c r="Q134" s="20">
        <v>46219.0</v>
      </c>
      <c r="R134" s="16" t="s">
        <v>118</v>
      </c>
      <c r="S134" s="16" t="s">
        <v>119</v>
      </c>
      <c r="T134" s="19" t="str">
        <f t="shared" si="2"/>
        <v>Seed | Standard</v>
      </c>
    </row>
    <row r="135" ht="15.75" customHeight="1">
      <c r="A135" s="16" t="s">
        <v>249</v>
      </c>
      <c r="B135" s="14">
        <v>21.0</v>
      </c>
      <c r="C135" s="15"/>
      <c r="D135" s="16" t="s">
        <v>37</v>
      </c>
      <c r="E135" s="16" t="s">
        <v>48</v>
      </c>
      <c r="F135" s="16" t="s">
        <v>83</v>
      </c>
      <c r="G135" s="16" t="s">
        <v>29</v>
      </c>
      <c r="H135" s="14">
        <v>13.0</v>
      </c>
      <c r="I135" s="14">
        <v>5.0</v>
      </c>
      <c r="J135" s="16" t="s">
        <v>40</v>
      </c>
      <c r="K135" s="14">
        <v>75.0</v>
      </c>
      <c r="L135" s="16" t="s">
        <v>50</v>
      </c>
      <c r="M135" s="16" t="s">
        <v>42</v>
      </c>
      <c r="N135" s="16" t="s">
        <v>52</v>
      </c>
      <c r="O135" s="16" t="s">
        <v>116</v>
      </c>
      <c r="P135" s="16" t="s">
        <v>117</v>
      </c>
      <c r="Q135" s="20">
        <v>46219.0</v>
      </c>
      <c r="R135" s="16" t="s">
        <v>118</v>
      </c>
      <c r="S135" s="16" t="s">
        <v>119</v>
      </c>
      <c r="T135" s="19" t="str">
        <f t="shared" si="2"/>
        <v>Series A | High-cost</v>
      </c>
    </row>
    <row r="136" ht="15.75" customHeight="1">
      <c r="A136" s="16" t="s">
        <v>250</v>
      </c>
      <c r="B136" s="14">
        <v>125.0</v>
      </c>
      <c r="C136" s="15"/>
      <c r="D136" s="16" t="s">
        <v>47</v>
      </c>
      <c r="E136" s="16" t="s">
        <v>28</v>
      </c>
      <c r="F136" s="16" t="s">
        <v>149</v>
      </c>
      <c r="G136" s="16" t="s">
        <v>39</v>
      </c>
      <c r="H136" s="14">
        <v>20.0</v>
      </c>
      <c r="I136" s="14">
        <v>6.0</v>
      </c>
      <c r="J136" s="16" t="s">
        <v>49</v>
      </c>
      <c r="K136" s="16"/>
      <c r="L136" s="16" t="s">
        <v>50</v>
      </c>
      <c r="M136" s="16" t="s">
        <v>51</v>
      </c>
      <c r="N136" s="16" t="s">
        <v>52</v>
      </c>
      <c r="O136" s="16" t="s">
        <v>116</v>
      </c>
      <c r="P136" s="16" t="s">
        <v>117</v>
      </c>
      <c r="Q136" s="20">
        <v>46219.0</v>
      </c>
      <c r="R136" s="16" t="s">
        <v>118</v>
      </c>
      <c r="S136" s="16" t="s">
        <v>119</v>
      </c>
      <c r="T136" s="19" t="str">
        <f t="shared" si="2"/>
        <v>Series B+ | Standard</v>
      </c>
    </row>
    <row r="137" ht="15.75" customHeight="1">
      <c r="A137" s="16" t="s">
        <v>251</v>
      </c>
      <c r="B137" s="14">
        <v>25.0</v>
      </c>
      <c r="C137" s="15"/>
      <c r="D137" s="16" t="s">
        <v>37</v>
      </c>
      <c r="E137" s="16" t="s">
        <v>48</v>
      </c>
      <c r="F137" s="16" t="s">
        <v>131</v>
      </c>
      <c r="G137" s="16" t="s">
        <v>39</v>
      </c>
      <c r="H137" s="14">
        <v>14.0</v>
      </c>
      <c r="I137" s="14">
        <v>9.0</v>
      </c>
      <c r="J137" s="16" t="s">
        <v>49</v>
      </c>
      <c r="K137" s="16"/>
      <c r="L137" s="16" t="s">
        <v>31</v>
      </c>
      <c r="M137" s="16" t="s">
        <v>51</v>
      </c>
      <c r="N137" s="16" t="s">
        <v>52</v>
      </c>
      <c r="O137" s="16" t="s">
        <v>116</v>
      </c>
      <c r="P137" s="16" t="s">
        <v>117</v>
      </c>
      <c r="Q137" s="20">
        <v>46219.0</v>
      </c>
      <c r="R137" s="16" t="s">
        <v>118</v>
      </c>
      <c r="S137" s="16" t="s">
        <v>119</v>
      </c>
      <c r="T137" s="19" t="str">
        <f t="shared" si="2"/>
        <v>Series A | Standard</v>
      </c>
    </row>
    <row r="138" ht="15.75" customHeight="1">
      <c r="A138" s="16" t="s">
        <v>252</v>
      </c>
      <c r="B138" s="14">
        <v>22.0</v>
      </c>
      <c r="C138" s="15"/>
      <c r="D138" s="16" t="s">
        <v>27</v>
      </c>
      <c r="E138" s="16" t="s">
        <v>38</v>
      </c>
      <c r="F138" s="16" t="s">
        <v>101</v>
      </c>
      <c r="G138" s="16" t="s">
        <v>39</v>
      </c>
      <c r="H138" s="14">
        <v>11.0</v>
      </c>
      <c r="I138" s="14">
        <v>8.0</v>
      </c>
      <c r="J138" s="16" t="s">
        <v>30</v>
      </c>
      <c r="K138" s="16"/>
      <c r="L138" s="16" t="s">
        <v>41</v>
      </c>
      <c r="M138" s="16" t="s">
        <v>32</v>
      </c>
      <c r="N138" s="16" t="s">
        <v>33</v>
      </c>
      <c r="O138" s="16" t="s">
        <v>116</v>
      </c>
      <c r="P138" s="16" t="s">
        <v>117</v>
      </c>
      <c r="Q138" s="20">
        <v>46219.0</v>
      </c>
      <c r="R138" s="16" t="s">
        <v>118</v>
      </c>
      <c r="S138" s="16" t="s">
        <v>119</v>
      </c>
      <c r="T138" s="19" t="str">
        <f t="shared" si="2"/>
        <v>Seed | Standard</v>
      </c>
    </row>
    <row r="139" ht="15.75" customHeight="1">
      <c r="A139" s="16" t="s">
        <v>253</v>
      </c>
      <c r="B139" s="14">
        <v>174.0</v>
      </c>
      <c r="C139" s="15"/>
      <c r="D139" s="16" t="s">
        <v>47</v>
      </c>
      <c r="E139" s="16" t="s">
        <v>28</v>
      </c>
      <c r="F139" s="16" t="s">
        <v>122</v>
      </c>
      <c r="G139" s="16" t="s">
        <v>39</v>
      </c>
      <c r="H139" s="14">
        <v>24.0</v>
      </c>
      <c r="I139" s="14">
        <v>16.0</v>
      </c>
      <c r="J139" s="16" t="s">
        <v>40</v>
      </c>
      <c r="K139" s="14">
        <v>80.0</v>
      </c>
      <c r="L139" s="16" t="s">
        <v>59</v>
      </c>
      <c r="M139" s="16" t="s">
        <v>32</v>
      </c>
      <c r="N139" s="16" t="s">
        <v>33</v>
      </c>
      <c r="O139" s="16" t="s">
        <v>116</v>
      </c>
      <c r="P139" s="16" t="s">
        <v>117</v>
      </c>
      <c r="Q139" s="20">
        <v>46219.0</v>
      </c>
      <c r="R139" s="16" t="s">
        <v>118</v>
      </c>
      <c r="S139" s="16" t="s">
        <v>119</v>
      </c>
      <c r="T139" s="19" t="str">
        <f t="shared" si="2"/>
        <v>Series B+ | Standard</v>
      </c>
    </row>
    <row r="140" ht="15.75" customHeight="1">
      <c r="A140" s="16" t="s">
        <v>254</v>
      </c>
      <c r="B140" s="14">
        <v>51.0</v>
      </c>
      <c r="C140" s="15"/>
      <c r="D140" s="16" t="s">
        <v>47</v>
      </c>
      <c r="E140" s="16" t="s">
        <v>57</v>
      </c>
      <c r="F140" s="16" t="s">
        <v>122</v>
      </c>
      <c r="G140" s="16" t="s">
        <v>39</v>
      </c>
      <c r="H140" s="14">
        <v>20.0</v>
      </c>
      <c r="I140" s="14">
        <v>15.0</v>
      </c>
      <c r="J140" s="16" t="s">
        <v>30</v>
      </c>
      <c r="K140" s="16"/>
      <c r="L140" s="16" t="s">
        <v>59</v>
      </c>
      <c r="M140" s="16" t="s">
        <v>51</v>
      </c>
      <c r="N140" s="16" t="s">
        <v>33</v>
      </c>
      <c r="O140" s="16" t="s">
        <v>116</v>
      </c>
      <c r="P140" s="16" t="s">
        <v>117</v>
      </c>
      <c r="Q140" s="20">
        <v>46219.0</v>
      </c>
      <c r="R140" s="16" t="s">
        <v>118</v>
      </c>
      <c r="S140" s="16" t="s">
        <v>119</v>
      </c>
      <c r="T140" s="19" t="str">
        <f t="shared" si="2"/>
        <v>Series B+ | Standard</v>
      </c>
    </row>
    <row r="141" ht="15.75" customHeight="1">
      <c r="A141" s="16" t="s">
        <v>255</v>
      </c>
      <c r="B141" s="14">
        <v>18.0</v>
      </c>
      <c r="C141" s="15"/>
      <c r="D141" s="16" t="s">
        <v>27</v>
      </c>
      <c r="E141" s="16" t="s">
        <v>48</v>
      </c>
      <c r="F141" s="16" t="s">
        <v>126</v>
      </c>
      <c r="G141" s="16" t="s">
        <v>39</v>
      </c>
      <c r="H141" s="14">
        <v>9.0</v>
      </c>
      <c r="I141" s="14">
        <v>4.0</v>
      </c>
      <c r="J141" s="16" t="s">
        <v>40</v>
      </c>
      <c r="K141" s="14">
        <v>80.0</v>
      </c>
      <c r="L141" s="16" t="s">
        <v>59</v>
      </c>
      <c r="M141" s="16" t="s">
        <v>42</v>
      </c>
      <c r="N141" s="16" t="s">
        <v>52</v>
      </c>
      <c r="O141" s="16" t="s">
        <v>116</v>
      </c>
      <c r="P141" s="16" t="s">
        <v>117</v>
      </c>
      <c r="Q141" s="20">
        <v>46219.0</v>
      </c>
      <c r="R141" s="16" t="s">
        <v>118</v>
      </c>
      <c r="S141" s="16" t="s">
        <v>119</v>
      </c>
      <c r="T141" s="19" t="str">
        <f t="shared" si="2"/>
        <v>Seed | Standard</v>
      </c>
    </row>
    <row r="142" ht="15.75" customHeight="1">
      <c r="A142" s="16" t="s">
        <v>256</v>
      </c>
      <c r="B142" s="14">
        <v>68.0</v>
      </c>
      <c r="C142" s="15"/>
      <c r="D142" s="16" t="s">
        <v>37</v>
      </c>
      <c r="E142" s="16" t="s">
        <v>38</v>
      </c>
      <c r="F142" s="16" t="s">
        <v>101</v>
      </c>
      <c r="G142" s="16" t="s">
        <v>39</v>
      </c>
      <c r="H142" s="14">
        <v>17.0</v>
      </c>
      <c r="I142" s="14">
        <v>6.0</v>
      </c>
      <c r="J142" s="16" t="s">
        <v>49</v>
      </c>
      <c r="K142" s="16"/>
      <c r="L142" s="16" t="s">
        <v>31</v>
      </c>
      <c r="M142" s="16" t="s">
        <v>51</v>
      </c>
      <c r="N142" s="16" t="s">
        <v>43</v>
      </c>
      <c r="O142" s="16" t="s">
        <v>116</v>
      </c>
      <c r="P142" s="16" t="s">
        <v>117</v>
      </c>
      <c r="Q142" s="20">
        <v>46219.0</v>
      </c>
      <c r="R142" s="16" t="s">
        <v>118</v>
      </c>
      <c r="S142" s="16" t="s">
        <v>119</v>
      </c>
      <c r="T142" s="19" t="str">
        <f t="shared" si="2"/>
        <v>Series A | Standard</v>
      </c>
    </row>
    <row r="143" ht="15.75" customHeight="1">
      <c r="A143" s="16" t="s">
        <v>257</v>
      </c>
      <c r="B143" s="14">
        <v>172.0</v>
      </c>
      <c r="C143" s="15"/>
      <c r="D143" s="16" t="s">
        <v>47</v>
      </c>
      <c r="E143" s="16" t="s">
        <v>28</v>
      </c>
      <c r="F143" s="16" t="s">
        <v>91</v>
      </c>
      <c r="G143" s="16" t="s">
        <v>39</v>
      </c>
      <c r="H143" s="14">
        <v>11.0</v>
      </c>
      <c r="I143" s="14">
        <v>6.0</v>
      </c>
      <c r="J143" s="16" t="s">
        <v>30</v>
      </c>
      <c r="K143" s="16"/>
      <c r="L143" s="16" t="s">
        <v>41</v>
      </c>
      <c r="M143" s="16" t="s">
        <v>42</v>
      </c>
      <c r="N143" s="16" t="s">
        <v>33</v>
      </c>
      <c r="O143" s="16" t="s">
        <v>116</v>
      </c>
      <c r="P143" s="16" t="s">
        <v>117</v>
      </c>
      <c r="Q143" s="20">
        <v>46219.0</v>
      </c>
      <c r="R143" s="16" t="s">
        <v>118</v>
      </c>
      <c r="S143" s="16" t="s">
        <v>119</v>
      </c>
      <c r="T143" s="19" t="str">
        <f t="shared" si="2"/>
        <v>Series B+ | Standard</v>
      </c>
    </row>
    <row r="144" ht="15.75" customHeight="1">
      <c r="A144" s="16" t="s">
        <v>258</v>
      </c>
      <c r="B144" s="14">
        <v>46.0</v>
      </c>
      <c r="C144" s="15"/>
      <c r="D144" s="16" t="s">
        <v>47</v>
      </c>
      <c r="E144" s="16" t="s">
        <v>57</v>
      </c>
      <c r="F144" s="16" t="s">
        <v>87</v>
      </c>
      <c r="G144" s="16" t="s">
        <v>29</v>
      </c>
      <c r="H144" s="14">
        <v>16.0</v>
      </c>
      <c r="I144" s="14">
        <v>12.0</v>
      </c>
      <c r="J144" s="16" t="s">
        <v>30</v>
      </c>
      <c r="K144" s="16"/>
      <c r="L144" s="16" t="s">
        <v>59</v>
      </c>
      <c r="M144" s="16" t="s">
        <v>32</v>
      </c>
      <c r="N144" s="16" t="s">
        <v>33</v>
      </c>
      <c r="O144" s="16" t="s">
        <v>116</v>
      </c>
      <c r="P144" s="16" t="s">
        <v>117</v>
      </c>
      <c r="Q144" s="20">
        <v>46219.0</v>
      </c>
      <c r="R144" s="16" t="s">
        <v>118</v>
      </c>
      <c r="S144" s="16" t="s">
        <v>119</v>
      </c>
      <c r="T144" s="19" t="str">
        <f t="shared" si="2"/>
        <v>Series B+ | High-cost</v>
      </c>
    </row>
    <row r="145" ht="15.75" customHeight="1">
      <c r="A145" s="16" t="s">
        <v>259</v>
      </c>
      <c r="B145" s="14">
        <v>125.0</v>
      </c>
      <c r="C145" s="15"/>
      <c r="D145" s="16" t="s">
        <v>47</v>
      </c>
      <c r="E145" s="16" t="s">
        <v>38</v>
      </c>
      <c r="F145" s="16" t="s">
        <v>133</v>
      </c>
      <c r="G145" s="16" t="s">
        <v>29</v>
      </c>
      <c r="H145" s="14">
        <v>10.0</v>
      </c>
      <c r="I145" s="14">
        <v>6.0</v>
      </c>
      <c r="J145" s="16" t="s">
        <v>49</v>
      </c>
      <c r="K145" s="16"/>
      <c r="L145" s="16" t="s">
        <v>59</v>
      </c>
      <c r="M145" s="16" t="s">
        <v>51</v>
      </c>
      <c r="N145" s="16" t="s">
        <v>52</v>
      </c>
      <c r="O145" s="16" t="s">
        <v>116</v>
      </c>
      <c r="P145" s="16" t="s">
        <v>117</v>
      </c>
      <c r="Q145" s="20">
        <v>46219.0</v>
      </c>
      <c r="R145" s="16" t="s">
        <v>118</v>
      </c>
      <c r="S145" s="16" t="s">
        <v>119</v>
      </c>
      <c r="T145" s="19" t="str">
        <f t="shared" si="2"/>
        <v>Series B+ | High-cost</v>
      </c>
    </row>
    <row r="146" ht="15.75" customHeight="1">
      <c r="A146" s="16" t="s">
        <v>260</v>
      </c>
      <c r="B146" s="14">
        <v>8.0</v>
      </c>
      <c r="C146" s="15"/>
      <c r="D146" s="16" t="s">
        <v>27</v>
      </c>
      <c r="E146" s="16" t="s">
        <v>28</v>
      </c>
      <c r="F146" s="16" t="s">
        <v>91</v>
      </c>
      <c r="G146" s="16" t="s">
        <v>39</v>
      </c>
      <c r="H146" s="14">
        <v>9.0</v>
      </c>
      <c r="I146" s="14">
        <v>8.0</v>
      </c>
      <c r="J146" s="16" t="s">
        <v>30</v>
      </c>
      <c r="K146" s="16"/>
      <c r="L146" s="16" t="s">
        <v>59</v>
      </c>
      <c r="M146" s="16" t="s">
        <v>32</v>
      </c>
      <c r="N146" s="16" t="s">
        <v>52</v>
      </c>
      <c r="O146" s="16" t="s">
        <v>116</v>
      </c>
      <c r="P146" s="16" t="s">
        <v>117</v>
      </c>
      <c r="Q146" s="20">
        <v>46219.0</v>
      </c>
      <c r="R146" s="16" t="s">
        <v>118</v>
      </c>
      <c r="S146" s="16" t="s">
        <v>119</v>
      </c>
      <c r="T146" s="19" t="str">
        <f t="shared" si="2"/>
        <v>Seed | Standard</v>
      </c>
    </row>
    <row r="147" ht="15.75" customHeight="1">
      <c r="A147" s="16" t="s">
        <v>261</v>
      </c>
      <c r="B147" s="14">
        <v>18.0</v>
      </c>
      <c r="C147" s="15"/>
      <c r="D147" s="16" t="s">
        <v>27</v>
      </c>
      <c r="E147" s="16" t="s">
        <v>57</v>
      </c>
      <c r="F147" s="16" t="s">
        <v>149</v>
      </c>
      <c r="G147" s="16" t="s">
        <v>39</v>
      </c>
      <c r="H147" s="14">
        <v>13.0</v>
      </c>
      <c r="I147" s="14">
        <v>2.0</v>
      </c>
      <c r="J147" s="16" t="s">
        <v>30</v>
      </c>
      <c r="K147" s="16"/>
      <c r="L147" s="16" t="s">
        <v>59</v>
      </c>
      <c r="M147" s="16" t="s">
        <v>51</v>
      </c>
      <c r="N147" s="16" t="s">
        <v>43</v>
      </c>
      <c r="O147" s="16" t="s">
        <v>116</v>
      </c>
      <c r="P147" s="16" t="s">
        <v>117</v>
      </c>
      <c r="Q147" s="20">
        <v>46219.0</v>
      </c>
      <c r="R147" s="16" t="s">
        <v>118</v>
      </c>
      <c r="S147" s="16" t="s">
        <v>119</v>
      </c>
      <c r="T147" s="19" t="str">
        <f t="shared" si="2"/>
        <v>Seed | Standard</v>
      </c>
    </row>
    <row r="148" ht="15.75" customHeight="1">
      <c r="A148" s="16" t="s">
        <v>262</v>
      </c>
      <c r="B148" s="14">
        <v>33.0</v>
      </c>
      <c r="C148" s="15"/>
      <c r="D148" s="16" t="s">
        <v>37</v>
      </c>
      <c r="E148" s="16" t="s">
        <v>48</v>
      </c>
      <c r="F148" s="16" t="s">
        <v>129</v>
      </c>
      <c r="G148" s="16" t="s">
        <v>39</v>
      </c>
      <c r="H148" s="14">
        <v>8.0</v>
      </c>
      <c r="I148" s="14">
        <v>8.0</v>
      </c>
      <c r="J148" s="16" t="s">
        <v>30</v>
      </c>
      <c r="K148" s="16"/>
      <c r="L148" s="16" t="s">
        <v>59</v>
      </c>
      <c r="M148" s="16" t="s">
        <v>32</v>
      </c>
      <c r="N148" s="16" t="s">
        <v>52</v>
      </c>
      <c r="O148" s="16" t="s">
        <v>116</v>
      </c>
      <c r="P148" s="16" t="s">
        <v>117</v>
      </c>
      <c r="Q148" s="20">
        <v>46219.0</v>
      </c>
      <c r="R148" s="16" t="s">
        <v>118</v>
      </c>
      <c r="S148" s="16" t="s">
        <v>119</v>
      </c>
      <c r="T148" s="19" t="str">
        <f t="shared" si="2"/>
        <v>Series A | Standard</v>
      </c>
    </row>
    <row r="149" ht="15.75" customHeight="1">
      <c r="A149" s="16" t="s">
        <v>263</v>
      </c>
      <c r="B149" s="14">
        <v>179.0</v>
      </c>
      <c r="C149" s="15"/>
      <c r="D149" s="16" t="s">
        <v>47</v>
      </c>
      <c r="E149" s="16" t="s">
        <v>63</v>
      </c>
      <c r="F149" s="16" t="s">
        <v>131</v>
      </c>
      <c r="G149" s="16" t="s">
        <v>39</v>
      </c>
      <c r="H149" s="14">
        <v>18.0</v>
      </c>
      <c r="I149" s="14">
        <v>4.0</v>
      </c>
      <c r="J149" s="16" t="s">
        <v>30</v>
      </c>
      <c r="K149" s="16"/>
      <c r="L149" s="16" t="s">
        <v>59</v>
      </c>
      <c r="M149" s="16" t="s">
        <v>32</v>
      </c>
      <c r="N149" s="16" t="s">
        <v>43</v>
      </c>
      <c r="O149" s="16" t="s">
        <v>116</v>
      </c>
      <c r="P149" s="16" t="s">
        <v>117</v>
      </c>
      <c r="Q149" s="20">
        <v>46219.0</v>
      </c>
      <c r="R149" s="16" t="s">
        <v>118</v>
      </c>
      <c r="S149" s="16" t="s">
        <v>119</v>
      </c>
      <c r="T149" s="19" t="str">
        <f t="shared" si="2"/>
        <v>Series B+ | Standard</v>
      </c>
    </row>
    <row r="150" ht="15.75" customHeight="1">
      <c r="A150" s="16" t="s">
        <v>264</v>
      </c>
      <c r="B150" s="14">
        <v>131.0</v>
      </c>
      <c r="C150" s="15"/>
      <c r="D150" s="16" t="s">
        <v>47</v>
      </c>
      <c r="E150" s="16" t="s">
        <v>28</v>
      </c>
      <c r="F150" s="16" t="s">
        <v>122</v>
      </c>
      <c r="G150" s="16" t="s">
        <v>39</v>
      </c>
      <c r="H150" s="14">
        <v>13.0</v>
      </c>
      <c r="I150" s="14">
        <v>5.0</v>
      </c>
      <c r="J150" s="16" t="s">
        <v>40</v>
      </c>
      <c r="K150" s="14">
        <v>70.0</v>
      </c>
      <c r="L150" s="16" t="s">
        <v>41</v>
      </c>
      <c r="M150" s="16" t="s">
        <v>32</v>
      </c>
      <c r="N150" s="16" t="s">
        <v>33</v>
      </c>
      <c r="O150" s="16" t="s">
        <v>116</v>
      </c>
      <c r="P150" s="16" t="s">
        <v>117</v>
      </c>
      <c r="Q150" s="20">
        <v>46219.0</v>
      </c>
      <c r="R150" s="16" t="s">
        <v>118</v>
      </c>
      <c r="S150" s="16" t="s">
        <v>119</v>
      </c>
      <c r="T150" s="19" t="str">
        <f t="shared" si="2"/>
        <v>Series B+ | Standard</v>
      </c>
    </row>
    <row r="151" ht="15.75" customHeight="1">
      <c r="A151" s="16" t="s">
        <v>265</v>
      </c>
      <c r="B151" s="14">
        <v>158.0</v>
      </c>
      <c r="C151" s="15"/>
      <c r="D151" s="16" t="s">
        <v>47</v>
      </c>
      <c r="E151" s="16" t="s">
        <v>57</v>
      </c>
      <c r="F151" s="16" t="s">
        <v>133</v>
      </c>
      <c r="G151" s="16" t="s">
        <v>29</v>
      </c>
      <c r="H151" s="14">
        <v>22.0</v>
      </c>
      <c r="I151" s="14">
        <v>6.0</v>
      </c>
      <c r="J151" s="16" t="s">
        <v>30</v>
      </c>
      <c r="K151" s="16"/>
      <c r="L151" s="16" t="s">
        <v>59</v>
      </c>
      <c r="M151" s="16" t="s">
        <v>32</v>
      </c>
      <c r="N151" s="16" t="s">
        <v>33</v>
      </c>
      <c r="O151" s="16" t="s">
        <v>116</v>
      </c>
      <c r="P151" s="16" t="s">
        <v>117</v>
      </c>
      <c r="Q151" s="20">
        <v>46219.0</v>
      </c>
      <c r="R151" s="16" t="s">
        <v>118</v>
      </c>
      <c r="S151" s="16" t="s">
        <v>119</v>
      </c>
      <c r="T151" s="19" t="str">
        <f t="shared" si="2"/>
        <v>Series B+ | High-cost</v>
      </c>
    </row>
    <row r="152" ht="15.75" customHeight="1">
      <c r="A152" s="16" t="s">
        <v>266</v>
      </c>
      <c r="B152" s="14">
        <v>120.0</v>
      </c>
      <c r="C152" s="15"/>
      <c r="D152" s="16" t="s">
        <v>47</v>
      </c>
      <c r="E152" s="16" t="s">
        <v>48</v>
      </c>
      <c r="F152" s="16" t="s">
        <v>131</v>
      </c>
      <c r="G152" s="16" t="s">
        <v>39</v>
      </c>
      <c r="H152" s="14">
        <v>16.0</v>
      </c>
      <c r="I152" s="14">
        <v>12.0</v>
      </c>
      <c r="J152" s="16" t="s">
        <v>30</v>
      </c>
      <c r="K152" s="16"/>
      <c r="L152" s="16" t="s">
        <v>31</v>
      </c>
      <c r="M152" s="16" t="s">
        <v>51</v>
      </c>
      <c r="N152" s="16" t="s">
        <v>33</v>
      </c>
      <c r="O152" s="16" t="s">
        <v>116</v>
      </c>
      <c r="P152" s="16" t="s">
        <v>117</v>
      </c>
      <c r="Q152" s="20">
        <v>46219.0</v>
      </c>
      <c r="R152" s="16" t="s">
        <v>118</v>
      </c>
      <c r="S152" s="16" t="s">
        <v>119</v>
      </c>
      <c r="T152" s="19" t="str">
        <f t="shared" si="2"/>
        <v>Series B+ | Standard</v>
      </c>
    </row>
    <row r="153" ht="15.75" customHeight="1">
      <c r="A153" s="16" t="s">
        <v>267</v>
      </c>
      <c r="B153" s="14">
        <v>124.0</v>
      </c>
      <c r="C153" s="15"/>
      <c r="D153" s="16" t="s">
        <v>47</v>
      </c>
      <c r="E153" s="16" t="s">
        <v>48</v>
      </c>
      <c r="F153" s="16" t="s">
        <v>83</v>
      </c>
      <c r="G153" s="16" t="s">
        <v>29</v>
      </c>
      <c r="H153" s="14">
        <v>22.0</v>
      </c>
      <c r="I153" s="14">
        <v>9.0</v>
      </c>
      <c r="J153" s="16" t="s">
        <v>30</v>
      </c>
      <c r="K153" s="16"/>
      <c r="L153" s="16" t="s">
        <v>59</v>
      </c>
      <c r="M153" s="16" t="s">
        <v>51</v>
      </c>
      <c r="N153" s="16" t="s">
        <v>43</v>
      </c>
      <c r="O153" s="16" t="s">
        <v>116</v>
      </c>
      <c r="P153" s="16" t="s">
        <v>117</v>
      </c>
      <c r="Q153" s="20">
        <v>46219.0</v>
      </c>
      <c r="R153" s="16" t="s">
        <v>118</v>
      </c>
      <c r="S153" s="16" t="s">
        <v>119</v>
      </c>
      <c r="T153" s="19" t="str">
        <f t="shared" si="2"/>
        <v>Series B+ | High-cost</v>
      </c>
    </row>
    <row r="154" ht="15.75" customHeight="1">
      <c r="A154" s="16" t="s">
        <v>268</v>
      </c>
      <c r="B154" s="14">
        <v>167.0</v>
      </c>
      <c r="C154" s="15"/>
      <c r="D154" s="16" t="s">
        <v>47</v>
      </c>
      <c r="E154" s="16" t="s">
        <v>57</v>
      </c>
      <c r="F154" s="16" t="s">
        <v>122</v>
      </c>
      <c r="G154" s="16" t="s">
        <v>39</v>
      </c>
      <c r="H154" s="14">
        <v>24.0</v>
      </c>
      <c r="I154" s="14">
        <v>16.0</v>
      </c>
      <c r="J154" s="16" t="s">
        <v>30</v>
      </c>
      <c r="K154" s="16"/>
      <c r="L154" s="16" t="s">
        <v>31</v>
      </c>
      <c r="M154" s="16" t="s">
        <v>51</v>
      </c>
      <c r="N154" s="16" t="s">
        <v>43</v>
      </c>
      <c r="O154" s="16" t="s">
        <v>116</v>
      </c>
      <c r="P154" s="16" t="s">
        <v>117</v>
      </c>
      <c r="Q154" s="20">
        <v>46219.0</v>
      </c>
      <c r="R154" s="16" t="s">
        <v>118</v>
      </c>
      <c r="S154" s="16" t="s">
        <v>119</v>
      </c>
      <c r="T154" s="19" t="str">
        <f t="shared" si="2"/>
        <v>Series B+ | Standard</v>
      </c>
    </row>
    <row r="155" ht="15.75" customHeight="1">
      <c r="A155" s="16" t="s">
        <v>269</v>
      </c>
      <c r="B155" s="14">
        <v>86.0</v>
      </c>
      <c r="C155" s="15"/>
      <c r="D155" s="16" t="s">
        <v>47</v>
      </c>
      <c r="E155" s="16" t="s">
        <v>63</v>
      </c>
      <c r="F155" s="16" t="s">
        <v>91</v>
      </c>
      <c r="G155" s="16" t="s">
        <v>39</v>
      </c>
      <c r="H155" s="14">
        <v>15.0</v>
      </c>
      <c r="I155" s="14">
        <v>5.0</v>
      </c>
      <c r="J155" s="16" t="s">
        <v>30</v>
      </c>
      <c r="K155" s="16"/>
      <c r="L155" s="16" t="s">
        <v>50</v>
      </c>
      <c r="M155" s="16" t="s">
        <v>42</v>
      </c>
      <c r="N155" s="16" t="s">
        <v>43</v>
      </c>
      <c r="O155" s="16" t="s">
        <v>116</v>
      </c>
      <c r="P155" s="16" t="s">
        <v>117</v>
      </c>
      <c r="Q155" s="20">
        <v>46219.0</v>
      </c>
      <c r="R155" s="16" t="s">
        <v>118</v>
      </c>
      <c r="S155" s="16" t="s">
        <v>119</v>
      </c>
      <c r="T155" s="19" t="str">
        <f t="shared" si="2"/>
        <v>Series B+ | Standard</v>
      </c>
    </row>
    <row r="156" ht="15.75" customHeight="1">
      <c r="A156" s="16" t="s">
        <v>270</v>
      </c>
      <c r="B156" s="14">
        <v>70.0</v>
      </c>
      <c r="C156" s="15"/>
      <c r="D156" s="16" t="s">
        <v>37</v>
      </c>
      <c r="E156" s="16" t="s">
        <v>48</v>
      </c>
      <c r="F156" s="16" t="s">
        <v>87</v>
      </c>
      <c r="G156" s="16" t="s">
        <v>29</v>
      </c>
      <c r="H156" s="14">
        <v>9.0</v>
      </c>
      <c r="I156" s="14">
        <v>9.0</v>
      </c>
      <c r="J156" s="16" t="s">
        <v>40</v>
      </c>
      <c r="K156" s="14">
        <v>70.0</v>
      </c>
      <c r="L156" s="16" t="s">
        <v>41</v>
      </c>
      <c r="M156" s="16" t="s">
        <v>32</v>
      </c>
      <c r="N156" s="16" t="s">
        <v>33</v>
      </c>
      <c r="O156" s="16" t="s">
        <v>116</v>
      </c>
      <c r="P156" s="16" t="s">
        <v>117</v>
      </c>
      <c r="Q156" s="20">
        <v>46219.0</v>
      </c>
      <c r="R156" s="16" t="s">
        <v>118</v>
      </c>
      <c r="S156" s="16" t="s">
        <v>119</v>
      </c>
      <c r="T156" s="19" t="str">
        <f t="shared" si="2"/>
        <v>Series A | High-cost</v>
      </c>
    </row>
    <row r="157" ht="15.75" customHeight="1">
      <c r="A157" s="16" t="s">
        <v>271</v>
      </c>
      <c r="B157" s="14">
        <v>7.0</v>
      </c>
      <c r="C157" s="15"/>
      <c r="D157" s="16" t="s">
        <v>27</v>
      </c>
      <c r="E157" s="16" t="s">
        <v>38</v>
      </c>
      <c r="F157" s="16" t="s">
        <v>122</v>
      </c>
      <c r="G157" s="16" t="s">
        <v>39</v>
      </c>
      <c r="H157" s="14">
        <v>11.0</v>
      </c>
      <c r="I157" s="14">
        <v>5.0</v>
      </c>
      <c r="J157" s="16" t="s">
        <v>49</v>
      </c>
      <c r="K157" s="16"/>
      <c r="L157" s="16" t="s">
        <v>31</v>
      </c>
      <c r="M157" s="16" t="s">
        <v>51</v>
      </c>
      <c r="N157" s="16" t="s">
        <v>33</v>
      </c>
      <c r="O157" s="16" t="s">
        <v>116</v>
      </c>
      <c r="P157" s="16" t="s">
        <v>117</v>
      </c>
      <c r="Q157" s="20">
        <v>46219.0</v>
      </c>
      <c r="R157" s="16" t="s">
        <v>118</v>
      </c>
      <c r="S157" s="16" t="s">
        <v>119</v>
      </c>
      <c r="T157" s="19" t="str">
        <f t="shared" si="2"/>
        <v>Seed | Standard</v>
      </c>
    </row>
    <row r="158" ht="15.75" customHeight="1">
      <c r="A158" s="16" t="s">
        <v>272</v>
      </c>
      <c r="B158" s="14">
        <v>65.0</v>
      </c>
      <c r="C158" s="15"/>
      <c r="D158" s="16" t="s">
        <v>37</v>
      </c>
      <c r="E158" s="16" t="s">
        <v>48</v>
      </c>
      <c r="F158" s="16" t="s">
        <v>91</v>
      </c>
      <c r="G158" s="16" t="s">
        <v>39</v>
      </c>
      <c r="H158" s="14">
        <v>11.0</v>
      </c>
      <c r="I158" s="14">
        <v>5.0</v>
      </c>
      <c r="J158" s="16" t="s">
        <v>30</v>
      </c>
      <c r="K158" s="16"/>
      <c r="L158" s="16" t="s">
        <v>41</v>
      </c>
      <c r="M158" s="16" t="s">
        <v>42</v>
      </c>
      <c r="N158" s="16" t="s">
        <v>43</v>
      </c>
      <c r="O158" s="16" t="s">
        <v>116</v>
      </c>
      <c r="P158" s="16" t="s">
        <v>117</v>
      </c>
      <c r="Q158" s="20">
        <v>46219.0</v>
      </c>
      <c r="R158" s="16" t="s">
        <v>118</v>
      </c>
      <c r="S158" s="16" t="s">
        <v>119</v>
      </c>
      <c r="T158" s="19" t="str">
        <f t="shared" si="2"/>
        <v>Series A | Standard</v>
      </c>
    </row>
    <row r="159" ht="15.75" customHeight="1">
      <c r="A159" s="16" t="s">
        <v>273</v>
      </c>
      <c r="B159" s="14">
        <v>19.0</v>
      </c>
      <c r="C159" s="15"/>
      <c r="D159" s="16" t="s">
        <v>27</v>
      </c>
      <c r="E159" s="16" t="s">
        <v>57</v>
      </c>
      <c r="F159" s="16" t="s">
        <v>101</v>
      </c>
      <c r="G159" s="16" t="s">
        <v>39</v>
      </c>
      <c r="H159" s="14">
        <v>10.0</v>
      </c>
      <c r="I159" s="14">
        <v>7.0</v>
      </c>
      <c r="J159" s="16" t="s">
        <v>49</v>
      </c>
      <c r="K159" s="16"/>
      <c r="L159" s="16" t="s">
        <v>59</v>
      </c>
      <c r="M159" s="16" t="s">
        <v>32</v>
      </c>
      <c r="N159" s="16" t="s">
        <v>33</v>
      </c>
      <c r="O159" s="16" t="s">
        <v>116</v>
      </c>
      <c r="P159" s="16" t="s">
        <v>117</v>
      </c>
      <c r="Q159" s="20">
        <v>46219.0</v>
      </c>
      <c r="R159" s="16" t="s">
        <v>118</v>
      </c>
      <c r="S159" s="16" t="s">
        <v>119</v>
      </c>
      <c r="T159" s="19" t="str">
        <f t="shared" si="2"/>
        <v>Seed | Standard</v>
      </c>
    </row>
    <row r="160" ht="15.75" customHeight="1">
      <c r="A160" s="16" t="s">
        <v>274</v>
      </c>
      <c r="B160" s="14">
        <v>71.0</v>
      </c>
      <c r="C160" s="15"/>
      <c r="D160" s="16" t="s">
        <v>37</v>
      </c>
      <c r="E160" s="16" t="s">
        <v>28</v>
      </c>
      <c r="F160" s="16" t="s">
        <v>122</v>
      </c>
      <c r="G160" s="16" t="s">
        <v>39</v>
      </c>
      <c r="H160" s="14">
        <v>18.0</v>
      </c>
      <c r="I160" s="14">
        <v>9.0</v>
      </c>
      <c r="J160" s="16" t="s">
        <v>40</v>
      </c>
      <c r="K160" s="14">
        <v>80.0</v>
      </c>
      <c r="L160" s="16" t="s">
        <v>50</v>
      </c>
      <c r="M160" s="16" t="s">
        <v>42</v>
      </c>
      <c r="N160" s="16" t="s">
        <v>60</v>
      </c>
      <c r="O160" s="16" t="s">
        <v>116</v>
      </c>
      <c r="P160" s="16" t="s">
        <v>117</v>
      </c>
      <c r="Q160" s="20">
        <v>46219.0</v>
      </c>
      <c r="R160" s="16" t="s">
        <v>118</v>
      </c>
      <c r="S160" s="16" t="s">
        <v>119</v>
      </c>
      <c r="T160" s="19" t="str">
        <f t="shared" si="2"/>
        <v>Series A | Standard</v>
      </c>
    </row>
    <row r="161" ht="15.75" customHeight="1">
      <c r="A161" s="16" t="s">
        <v>275</v>
      </c>
      <c r="B161" s="14">
        <v>170.0</v>
      </c>
      <c r="C161" s="15"/>
      <c r="D161" s="16" t="s">
        <v>47</v>
      </c>
      <c r="E161" s="16" t="s">
        <v>38</v>
      </c>
      <c r="F161" s="16" t="s">
        <v>83</v>
      </c>
      <c r="G161" s="16" t="s">
        <v>29</v>
      </c>
      <c r="H161" s="14">
        <v>13.0</v>
      </c>
      <c r="I161" s="14">
        <v>6.0</v>
      </c>
      <c r="J161" s="16" t="s">
        <v>30</v>
      </c>
      <c r="K161" s="16"/>
      <c r="L161" s="16" t="s">
        <v>59</v>
      </c>
      <c r="M161" s="16" t="s">
        <v>32</v>
      </c>
      <c r="N161" s="16" t="s">
        <v>33</v>
      </c>
      <c r="O161" s="16" t="s">
        <v>116</v>
      </c>
      <c r="P161" s="16" t="s">
        <v>117</v>
      </c>
      <c r="Q161" s="20">
        <v>46219.0</v>
      </c>
      <c r="R161" s="16" t="s">
        <v>118</v>
      </c>
      <c r="S161" s="16" t="s">
        <v>119</v>
      </c>
      <c r="T161" s="19" t="str">
        <f t="shared" si="2"/>
        <v>Series B+ | High-cost</v>
      </c>
    </row>
    <row r="162" ht="15.75" customHeight="1">
      <c r="A162" s="16" t="s">
        <v>276</v>
      </c>
      <c r="B162" s="14">
        <v>85.0</v>
      </c>
      <c r="C162" s="15"/>
      <c r="D162" s="16" t="s">
        <v>37</v>
      </c>
      <c r="E162" s="16" t="s">
        <v>38</v>
      </c>
      <c r="F162" s="16" t="s">
        <v>149</v>
      </c>
      <c r="G162" s="16" t="s">
        <v>39</v>
      </c>
      <c r="H162" s="14">
        <v>9.0</v>
      </c>
      <c r="I162" s="14">
        <v>4.0</v>
      </c>
      <c r="J162" s="16" t="s">
        <v>30</v>
      </c>
      <c r="K162" s="16"/>
      <c r="L162" s="16" t="s">
        <v>59</v>
      </c>
      <c r="M162" s="16" t="s">
        <v>51</v>
      </c>
      <c r="N162" s="16" t="s">
        <v>43</v>
      </c>
      <c r="O162" s="16" t="s">
        <v>116</v>
      </c>
      <c r="P162" s="16" t="s">
        <v>117</v>
      </c>
      <c r="Q162" s="20">
        <v>46219.0</v>
      </c>
      <c r="R162" s="16" t="s">
        <v>118</v>
      </c>
      <c r="S162" s="16" t="s">
        <v>119</v>
      </c>
      <c r="T162" s="19" t="str">
        <f t="shared" si="2"/>
        <v>Series A | Standard</v>
      </c>
    </row>
    <row r="163" ht="15.75" customHeight="1">
      <c r="A163" s="16" t="s">
        <v>277</v>
      </c>
      <c r="B163" s="14">
        <v>81.0</v>
      </c>
      <c r="C163" s="15"/>
      <c r="D163" s="16" t="s">
        <v>37</v>
      </c>
      <c r="E163" s="16" t="s">
        <v>48</v>
      </c>
      <c r="F163" s="16" t="s">
        <v>133</v>
      </c>
      <c r="G163" s="16" t="s">
        <v>29</v>
      </c>
      <c r="H163" s="14">
        <v>16.0</v>
      </c>
      <c r="I163" s="14">
        <v>6.0</v>
      </c>
      <c r="J163" s="16" t="s">
        <v>40</v>
      </c>
      <c r="K163" s="14">
        <v>60.0</v>
      </c>
      <c r="L163" s="16" t="s">
        <v>59</v>
      </c>
      <c r="M163" s="16" t="s">
        <v>51</v>
      </c>
      <c r="N163" s="16" t="s">
        <v>60</v>
      </c>
      <c r="O163" s="16" t="s">
        <v>116</v>
      </c>
      <c r="P163" s="16" t="s">
        <v>117</v>
      </c>
      <c r="Q163" s="20">
        <v>46219.0</v>
      </c>
      <c r="R163" s="16" t="s">
        <v>118</v>
      </c>
      <c r="S163" s="16" t="s">
        <v>119</v>
      </c>
      <c r="T163" s="19" t="str">
        <f t="shared" si="2"/>
        <v>Series A | High-cost</v>
      </c>
    </row>
    <row r="164" ht="15.75" customHeight="1">
      <c r="A164" s="16" t="s">
        <v>278</v>
      </c>
      <c r="B164" s="14">
        <v>53.0</v>
      </c>
      <c r="C164" s="15"/>
      <c r="D164" s="16" t="s">
        <v>37</v>
      </c>
      <c r="E164" s="16" t="s">
        <v>38</v>
      </c>
      <c r="F164" s="16" t="s">
        <v>133</v>
      </c>
      <c r="G164" s="16" t="s">
        <v>29</v>
      </c>
      <c r="H164" s="14">
        <v>13.0</v>
      </c>
      <c r="I164" s="14">
        <v>7.0</v>
      </c>
      <c r="J164" s="16" t="s">
        <v>30</v>
      </c>
      <c r="K164" s="16"/>
      <c r="L164" s="16" t="s">
        <v>50</v>
      </c>
      <c r="M164" s="16" t="s">
        <v>32</v>
      </c>
      <c r="N164" s="16" t="s">
        <v>33</v>
      </c>
      <c r="O164" s="16" t="s">
        <v>116</v>
      </c>
      <c r="P164" s="16" t="s">
        <v>117</v>
      </c>
      <c r="Q164" s="20">
        <v>46219.0</v>
      </c>
      <c r="R164" s="16" t="s">
        <v>118</v>
      </c>
      <c r="S164" s="16" t="s">
        <v>119</v>
      </c>
      <c r="T164" s="19" t="str">
        <f t="shared" si="2"/>
        <v>Series A | High-cost</v>
      </c>
    </row>
    <row r="165" ht="15.75" customHeight="1">
      <c r="A165" s="16" t="s">
        <v>279</v>
      </c>
      <c r="B165" s="14">
        <v>22.0</v>
      </c>
      <c r="C165" s="15"/>
      <c r="D165" s="16" t="s">
        <v>27</v>
      </c>
      <c r="E165" s="16" t="s">
        <v>63</v>
      </c>
      <c r="F165" s="16" t="s">
        <v>131</v>
      </c>
      <c r="G165" s="16" t="s">
        <v>39</v>
      </c>
      <c r="H165" s="14">
        <v>7.0</v>
      </c>
      <c r="I165" s="14">
        <v>6.0</v>
      </c>
      <c r="J165" s="16" t="s">
        <v>40</v>
      </c>
      <c r="K165" s="14">
        <v>80.0</v>
      </c>
      <c r="L165" s="16" t="s">
        <v>41</v>
      </c>
      <c r="M165" s="16" t="s">
        <v>32</v>
      </c>
      <c r="N165" s="16" t="s">
        <v>52</v>
      </c>
      <c r="O165" s="16" t="s">
        <v>116</v>
      </c>
      <c r="P165" s="16" t="s">
        <v>117</v>
      </c>
      <c r="Q165" s="20">
        <v>46219.0</v>
      </c>
      <c r="R165" s="16" t="s">
        <v>118</v>
      </c>
      <c r="S165" s="16" t="s">
        <v>119</v>
      </c>
      <c r="T165" s="19" t="str">
        <f t="shared" si="2"/>
        <v>Seed | Standard</v>
      </c>
    </row>
    <row r="166" ht="15.75" customHeight="1">
      <c r="A166" s="16" t="s">
        <v>280</v>
      </c>
      <c r="B166" s="14">
        <v>39.0</v>
      </c>
      <c r="C166" s="15"/>
      <c r="D166" s="16" t="s">
        <v>27</v>
      </c>
      <c r="E166" s="16" t="s">
        <v>28</v>
      </c>
      <c r="F166" s="16" t="s">
        <v>87</v>
      </c>
      <c r="G166" s="16" t="s">
        <v>29</v>
      </c>
      <c r="H166" s="14">
        <v>7.0</v>
      </c>
      <c r="I166" s="14">
        <v>2.0</v>
      </c>
      <c r="J166" s="16" t="s">
        <v>49</v>
      </c>
      <c r="K166" s="16"/>
      <c r="L166" s="16" t="s">
        <v>50</v>
      </c>
      <c r="M166" s="16" t="s">
        <v>51</v>
      </c>
      <c r="N166" s="16" t="s">
        <v>33</v>
      </c>
      <c r="O166" s="16" t="s">
        <v>116</v>
      </c>
      <c r="P166" s="16" t="s">
        <v>117</v>
      </c>
      <c r="Q166" s="20">
        <v>46219.0</v>
      </c>
      <c r="R166" s="16" t="s">
        <v>118</v>
      </c>
      <c r="S166" s="16" t="s">
        <v>119</v>
      </c>
      <c r="T166" s="19" t="str">
        <f t="shared" si="2"/>
        <v>Seed | High-cost</v>
      </c>
    </row>
    <row r="167" ht="15.75" customHeight="1">
      <c r="A167" s="16" t="s">
        <v>281</v>
      </c>
      <c r="B167" s="14">
        <v>18.0</v>
      </c>
      <c r="C167" s="15"/>
      <c r="D167" s="16" t="s">
        <v>37</v>
      </c>
      <c r="E167" s="16" t="s">
        <v>57</v>
      </c>
      <c r="F167" s="16" t="s">
        <v>131</v>
      </c>
      <c r="G167" s="16" t="s">
        <v>39</v>
      </c>
      <c r="H167" s="14">
        <v>12.0</v>
      </c>
      <c r="I167" s="14">
        <v>8.0</v>
      </c>
      <c r="J167" s="16" t="s">
        <v>30</v>
      </c>
      <c r="K167" s="16"/>
      <c r="L167" s="16" t="s">
        <v>59</v>
      </c>
      <c r="M167" s="16" t="s">
        <v>42</v>
      </c>
      <c r="N167" s="16" t="s">
        <v>43</v>
      </c>
      <c r="O167" s="16" t="s">
        <v>116</v>
      </c>
      <c r="P167" s="16" t="s">
        <v>117</v>
      </c>
      <c r="Q167" s="20">
        <v>46219.0</v>
      </c>
      <c r="R167" s="16" t="s">
        <v>118</v>
      </c>
      <c r="S167" s="16" t="s">
        <v>119</v>
      </c>
      <c r="T167" s="19" t="str">
        <f t="shared" si="2"/>
        <v>Series A | Standard</v>
      </c>
    </row>
    <row r="168" ht="15.75" customHeight="1">
      <c r="A168" s="16" t="s">
        <v>282</v>
      </c>
      <c r="B168" s="14">
        <v>29.0</v>
      </c>
      <c r="C168" s="15"/>
      <c r="D168" s="16" t="s">
        <v>27</v>
      </c>
      <c r="E168" s="16" t="s">
        <v>57</v>
      </c>
      <c r="F168" s="16" t="s">
        <v>126</v>
      </c>
      <c r="G168" s="16" t="s">
        <v>39</v>
      </c>
      <c r="H168" s="14">
        <v>9.0</v>
      </c>
      <c r="I168" s="14">
        <v>4.0</v>
      </c>
      <c r="J168" s="16" t="s">
        <v>40</v>
      </c>
      <c r="K168" s="14">
        <v>70.0</v>
      </c>
      <c r="L168" s="16" t="s">
        <v>50</v>
      </c>
      <c r="M168" s="16" t="s">
        <v>51</v>
      </c>
      <c r="N168" s="16" t="s">
        <v>60</v>
      </c>
      <c r="O168" s="16" t="s">
        <v>116</v>
      </c>
      <c r="P168" s="16" t="s">
        <v>117</v>
      </c>
      <c r="Q168" s="20">
        <v>46219.0</v>
      </c>
      <c r="R168" s="16" t="s">
        <v>118</v>
      </c>
      <c r="S168" s="16" t="s">
        <v>119</v>
      </c>
      <c r="T168" s="19" t="str">
        <f t="shared" si="2"/>
        <v>Seed | Standard</v>
      </c>
    </row>
    <row r="169" ht="15.75" customHeight="1">
      <c r="A169" s="16" t="s">
        <v>283</v>
      </c>
      <c r="B169" s="14">
        <v>26.0</v>
      </c>
      <c r="C169" s="15"/>
      <c r="D169" s="16" t="s">
        <v>27</v>
      </c>
      <c r="E169" s="16" t="s">
        <v>63</v>
      </c>
      <c r="F169" s="16" t="s">
        <v>131</v>
      </c>
      <c r="G169" s="16" t="s">
        <v>39</v>
      </c>
      <c r="H169" s="14">
        <v>7.0</v>
      </c>
      <c r="I169" s="14">
        <v>4.0</v>
      </c>
      <c r="J169" s="16" t="s">
        <v>30</v>
      </c>
      <c r="K169" s="16"/>
      <c r="L169" s="16" t="s">
        <v>31</v>
      </c>
      <c r="M169" s="16" t="s">
        <v>42</v>
      </c>
      <c r="N169" s="16" t="s">
        <v>43</v>
      </c>
      <c r="O169" s="16" t="s">
        <v>116</v>
      </c>
      <c r="P169" s="16" t="s">
        <v>117</v>
      </c>
      <c r="Q169" s="20">
        <v>46219.0</v>
      </c>
      <c r="R169" s="16" t="s">
        <v>118</v>
      </c>
      <c r="S169" s="16" t="s">
        <v>119</v>
      </c>
      <c r="T169" s="19" t="str">
        <f t="shared" si="2"/>
        <v>Seed | Standard</v>
      </c>
    </row>
    <row r="170" ht="15.75" customHeight="1">
      <c r="A170" s="16" t="s">
        <v>284</v>
      </c>
      <c r="B170" s="14">
        <v>27.0</v>
      </c>
      <c r="C170" s="15"/>
      <c r="D170" s="16" t="s">
        <v>27</v>
      </c>
      <c r="E170" s="16" t="s">
        <v>63</v>
      </c>
      <c r="F170" s="16" t="s">
        <v>129</v>
      </c>
      <c r="G170" s="16" t="s">
        <v>39</v>
      </c>
      <c r="H170" s="14">
        <v>9.0</v>
      </c>
      <c r="I170" s="14">
        <v>8.0</v>
      </c>
      <c r="J170" s="16" t="s">
        <v>49</v>
      </c>
      <c r="K170" s="16"/>
      <c r="L170" s="16" t="s">
        <v>50</v>
      </c>
      <c r="M170" s="16" t="s">
        <v>51</v>
      </c>
      <c r="N170" s="16" t="s">
        <v>52</v>
      </c>
      <c r="O170" s="16" t="s">
        <v>116</v>
      </c>
      <c r="P170" s="16" t="s">
        <v>117</v>
      </c>
      <c r="Q170" s="20">
        <v>46219.0</v>
      </c>
      <c r="R170" s="16" t="s">
        <v>118</v>
      </c>
      <c r="S170" s="16" t="s">
        <v>119</v>
      </c>
      <c r="T170" s="19" t="str">
        <f t="shared" si="2"/>
        <v>Seed | Standard</v>
      </c>
    </row>
    <row r="171" ht="15.75" customHeight="1">
      <c r="A171" s="16" t="s">
        <v>285</v>
      </c>
      <c r="B171" s="14">
        <v>80.0</v>
      </c>
      <c r="C171" s="15"/>
      <c r="D171" s="16" t="s">
        <v>37</v>
      </c>
      <c r="E171" s="16" t="s">
        <v>57</v>
      </c>
      <c r="F171" s="16" t="s">
        <v>126</v>
      </c>
      <c r="G171" s="16" t="s">
        <v>39</v>
      </c>
      <c r="H171" s="14">
        <v>12.0</v>
      </c>
      <c r="I171" s="14">
        <v>11.0</v>
      </c>
      <c r="J171" s="16" t="s">
        <v>30</v>
      </c>
      <c r="K171" s="16"/>
      <c r="L171" s="16" t="s">
        <v>59</v>
      </c>
      <c r="M171" s="16" t="s">
        <v>51</v>
      </c>
      <c r="N171" s="16" t="s">
        <v>43</v>
      </c>
      <c r="O171" s="16" t="s">
        <v>116</v>
      </c>
      <c r="P171" s="16" t="s">
        <v>117</v>
      </c>
      <c r="Q171" s="20">
        <v>46219.0</v>
      </c>
      <c r="R171" s="16" t="s">
        <v>118</v>
      </c>
      <c r="S171" s="16" t="s">
        <v>119</v>
      </c>
      <c r="T171" s="19" t="str">
        <f t="shared" si="2"/>
        <v>Series A | Standard</v>
      </c>
    </row>
    <row r="172" ht="15.75" customHeight="1">
      <c r="A172" s="16" t="s">
        <v>286</v>
      </c>
      <c r="B172" s="14">
        <v>33.0</v>
      </c>
      <c r="C172" s="15"/>
      <c r="D172" s="16" t="s">
        <v>27</v>
      </c>
      <c r="E172" s="16" t="s">
        <v>48</v>
      </c>
      <c r="F172" s="16" t="s">
        <v>131</v>
      </c>
      <c r="G172" s="16" t="s">
        <v>39</v>
      </c>
      <c r="H172" s="14">
        <v>6.0</v>
      </c>
      <c r="I172" s="14">
        <v>2.0</v>
      </c>
      <c r="J172" s="16" t="s">
        <v>30</v>
      </c>
      <c r="K172" s="16"/>
      <c r="L172" s="16" t="s">
        <v>50</v>
      </c>
      <c r="M172" s="16" t="s">
        <v>51</v>
      </c>
      <c r="N172" s="16" t="s">
        <v>33</v>
      </c>
      <c r="O172" s="16" t="s">
        <v>116</v>
      </c>
      <c r="P172" s="16" t="s">
        <v>117</v>
      </c>
      <c r="Q172" s="20">
        <v>46219.0</v>
      </c>
      <c r="R172" s="16" t="s">
        <v>118</v>
      </c>
      <c r="S172" s="16" t="s">
        <v>119</v>
      </c>
      <c r="T172" s="19" t="str">
        <f t="shared" si="2"/>
        <v>Seed | Standard</v>
      </c>
    </row>
    <row r="173" ht="15.75" customHeight="1">
      <c r="A173" s="16" t="s">
        <v>287</v>
      </c>
      <c r="B173" s="14">
        <v>6.0</v>
      </c>
      <c r="C173" s="15"/>
      <c r="D173" s="16" t="s">
        <v>27</v>
      </c>
      <c r="E173" s="16" t="s">
        <v>63</v>
      </c>
      <c r="F173" s="16" t="s">
        <v>131</v>
      </c>
      <c r="G173" s="16" t="s">
        <v>39</v>
      </c>
      <c r="H173" s="14">
        <v>9.0</v>
      </c>
      <c r="I173" s="14">
        <v>4.0</v>
      </c>
      <c r="J173" s="16" t="s">
        <v>40</v>
      </c>
      <c r="K173" s="14">
        <v>50.0</v>
      </c>
      <c r="L173" s="16" t="s">
        <v>59</v>
      </c>
      <c r="M173" s="16" t="s">
        <v>51</v>
      </c>
      <c r="N173" s="16" t="s">
        <v>43</v>
      </c>
      <c r="O173" s="16" t="s">
        <v>116</v>
      </c>
      <c r="P173" s="16" t="s">
        <v>117</v>
      </c>
      <c r="Q173" s="20">
        <v>46219.0</v>
      </c>
      <c r="R173" s="16" t="s">
        <v>118</v>
      </c>
      <c r="S173" s="16" t="s">
        <v>119</v>
      </c>
      <c r="T173" s="19" t="str">
        <f t="shared" si="2"/>
        <v>Seed | Standard</v>
      </c>
    </row>
    <row r="174" ht="15.75" customHeight="1">
      <c r="A174" s="16" t="s">
        <v>288</v>
      </c>
      <c r="B174" s="14">
        <v>199.0</v>
      </c>
      <c r="C174" s="15"/>
      <c r="D174" s="16" t="s">
        <v>47</v>
      </c>
      <c r="E174" s="16" t="s">
        <v>63</v>
      </c>
      <c r="F174" s="16" t="s">
        <v>83</v>
      </c>
      <c r="G174" s="16" t="s">
        <v>29</v>
      </c>
      <c r="H174" s="14">
        <v>12.0</v>
      </c>
      <c r="I174" s="14">
        <v>5.0</v>
      </c>
      <c r="J174" s="16" t="s">
        <v>30</v>
      </c>
      <c r="K174" s="16"/>
      <c r="L174" s="16" t="s">
        <v>50</v>
      </c>
      <c r="M174" s="16" t="s">
        <v>51</v>
      </c>
      <c r="N174" s="16" t="s">
        <v>60</v>
      </c>
      <c r="O174" s="16" t="s">
        <v>116</v>
      </c>
      <c r="P174" s="16" t="s">
        <v>117</v>
      </c>
      <c r="Q174" s="20">
        <v>46219.0</v>
      </c>
      <c r="R174" s="16" t="s">
        <v>118</v>
      </c>
      <c r="S174" s="16" t="s">
        <v>119</v>
      </c>
      <c r="T174" s="19" t="str">
        <f t="shared" si="2"/>
        <v>Series B+ | High-cost</v>
      </c>
    </row>
    <row r="175" ht="15.75" customHeight="1">
      <c r="A175" s="16" t="s">
        <v>289</v>
      </c>
      <c r="B175" s="14">
        <v>35.0</v>
      </c>
      <c r="C175" s="15"/>
      <c r="D175" s="16" t="s">
        <v>27</v>
      </c>
      <c r="E175" s="16" t="s">
        <v>57</v>
      </c>
      <c r="F175" s="16" t="s">
        <v>131</v>
      </c>
      <c r="G175" s="16" t="s">
        <v>39</v>
      </c>
      <c r="H175" s="14">
        <v>6.0</v>
      </c>
      <c r="I175" s="14">
        <v>2.0</v>
      </c>
      <c r="J175" s="16" t="s">
        <v>30</v>
      </c>
      <c r="K175" s="16"/>
      <c r="L175" s="16" t="s">
        <v>50</v>
      </c>
      <c r="M175" s="16" t="s">
        <v>42</v>
      </c>
      <c r="N175" s="16" t="s">
        <v>43</v>
      </c>
      <c r="O175" s="16" t="s">
        <v>116</v>
      </c>
      <c r="P175" s="16" t="s">
        <v>117</v>
      </c>
      <c r="Q175" s="20">
        <v>46219.0</v>
      </c>
      <c r="R175" s="16" t="s">
        <v>118</v>
      </c>
      <c r="S175" s="16" t="s">
        <v>119</v>
      </c>
      <c r="T175" s="19" t="str">
        <f t="shared" si="2"/>
        <v>Seed | Standard</v>
      </c>
    </row>
    <row r="176" ht="15.75" customHeight="1">
      <c r="A176" s="16" t="s">
        <v>290</v>
      </c>
      <c r="B176" s="14">
        <v>75.0</v>
      </c>
      <c r="C176" s="15"/>
      <c r="D176" s="16" t="s">
        <v>47</v>
      </c>
      <c r="E176" s="16" t="s">
        <v>48</v>
      </c>
      <c r="F176" s="16" t="s">
        <v>149</v>
      </c>
      <c r="G176" s="16" t="s">
        <v>39</v>
      </c>
      <c r="H176" s="14">
        <v>15.0</v>
      </c>
      <c r="I176" s="14">
        <v>6.0</v>
      </c>
      <c r="J176" s="16" t="s">
        <v>30</v>
      </c>
      <c r="K176" s="16"/>
      <c r="L176" s="16" t="s">
        <v>50</v>
      </c>
      <c r="M176" s="16" t="s">
        <v>51</v>
      </c>
      <c r="N176" s="16" t="s">
        <v>33</v>
      </c>
      <c r="O176" s="16" t="s">
        <v>116</v>
      </c>
      <c r="P176" s="16" t="s">
        <v>117</v>
      </c>
      <c r="Q176" s="20">
        <v>46219.0</v>
      </c>
      <c r="R176" s="16" t="s">
        <v>118</v>
      </c>
      <c r="S176" s="16" t="s">
        <v>119</v>
      </c>
      <c r="T176" s="19" t="str">
        <f t="shared" si="2"/>
        <v>Series B+ | Standard</v>
      </c>
    </row>
    <row r="177" ht="15.75" customHeight="1">
      <c r="A177" s="16" t="s">
        <v>291</v>
      </c>
      <c r="B177" s="14">
        <v>87.0</v>
      </c>
      <c r="C177" s="15"/>
      <c r="D177" s="16" t="s">
        <v>37</v>
      </c>
      <c r="E177" s="16" t="s">
        <v>48</v>
      </c>
      <c r="F177" s="16" t="s">
        <v>126</v>
      </c>
      <c r="G177" s="16" t="s">
        <v>39</v>
      </c>
      <c r="H177" s="14">
        <v>8.0</v>
      </c>
      <c r="I177" s="14">
        <v>6.0</v>
      </c>
      <c r="J177" s="16" t="s">
        <v>30</v>
      </c>
      <c r="K177" s="16"/>
      <c r="L177" s="16" t="s">
        <v>31</v>
      </c>
      <c r="M177" s="16" t="s">
        <v>42</v>
      </c>
      <c r="N177" s="16" t="s">
        <v>43</v>
      </c>
      <c r="O177" s="16" t="s">
        <v>116</v>
      </c>
      <c r="P177" s="16" t="s">
        <v>117</v>
      </c>
      <c r="Q177" s="20">
        <v>46219.0</v>
      </c>
      <c r="R177" s="16" t="s">
        <v>118</v>
      </c>
      <c r="S177" s="16" t="s">
        <v>119</v>
      </c>
      <c r="T177" s="19" t="str">
        <f t="shared" si="2"/>
        <v>Series A | Standard</v>
      </c>
    </row>
    <row r="178" ht="15.75" customHeight="1">
      <c r="A178" s="16" t="s">
        <v>292</v>
      </c>
      <c r="B178" s="14">
        <v>48.0</v>
      </c>
      <c r="C178" s="15"/>
      <c r="D178" s="16" t="s">
        <v>37</v>
      </c>
      <c r="E178" s="16" t="s">
        <v>63</v>
      </c>
      <c r="F178" s="16" t="s">
        <v>149</v>
      </c>
      <c r="G178" s="16" t="s">
        <v>39</v>
      </c>
      <c r="H178" s="14">
        <v>11.0</v>
      </c>
      <c r="I178" s="14">
        <v>4.0</v>
      </c>
      <c r="J178" s="16" t="s">
        <v>40</v>
      </c>
      <c r="K178" s="14">
        <v>60.0</v>
      </c>
      <c r="L178" s="16" t="s">
        <v>59</v>
      </c>
      <c r="M178" s="16" t="s">
        <v>32</v>
      </c>
      <c r="N178" s="16" t="s">
        <v>52</v>
      </c>
      <c r="O178" s="16" t="s">
        <v>116</v>
      </c>
      <c r="P178" s="16" t="s">
        <v>117</v>
      </c>
      <c r="Q178" s="20">
        <v>46219.0</v>
      </c>
      <c r="R178" s="16" t="s">
        <v>118</v>
      </c>
      <c r="S178" s="16" t="s">
        <v>119</v>
      </c>
      <c r="T178" s="19" t="str">
        <f t="shared" si="2"/>
        <v>Series A | Standard</v>
      </c>
    </row>
    <row r="179" ht="15.75" customHeight="1">
      <c r="A179" s="16" t="s">
        <v>293</v>
      </c>
      <c r="B179" s="14">
        <v>29.0</v>
      </c>
      <c r="C179" s="15"/>
      <c r="D179" s="16" t="s">
        <v>37</v>
      </c>
      <c r="E179" s="16" t="s">
        <v>38</v>
      </c>
      <c r="F179" s="16" t="s">
        <v>87</v>
      </c>
      <c r="G179" s="16" t="s">
        <v>29</v>
      </c>
      <c r="H179" s="14">
        <v>15.0</v>
      </c>
      <c r="I179" s="14">
        <v>9.0</v>
      </c>
      <c r="J179" s="16" t="s">
        <v>30</v>
      </c>
      <c r="K179" s="16"/>
      <c r="L179" s="16" t="s">
        <v>59</v>
      </c>
      <c r="M179" s="16" t="s">
        <v>51</v>
      </c>
      <c r="N179" s="16" t="s">
        <v>33</v>
      </c>
      <c r="O179" s="16" t="s">
        <v>116</v>
      </c>
      <c r="P179" s="16" t="s">
        <v>117</v>
      </c>
      <c r="Q179" s="20">
        <v>46219.0</v>
      </c>
      <c r="R179" s="16" t="s">
        <v>118</v>
      </c>
      <c r="S179" s="16" t="s">
        <v>119</v>
      </c>
      <c r="T179" s="19" t="str">
        <f t="shared" si="2"/>
        <v>Series A | High-cost</v>
      </c>
    </row>
    <row r="180" ht="15.75" customHeight="1">
      <c r="A180" s="16" t="s">
        <v>294</v>
      </c>
      <c r="B180" s="14">
        <v>55.0</v>
      </c>
      <c r="C180" s="15"/>
      <c r="D180" s="16" t="s">
        <v>47</v>
      </c>
      <c r="E180" s="16" t="s">
        <v>38</v>
      </c>
      <c r="F180" s="16" t="s">
        <v>131</v>
      </c>
      <c r="G180" s="16" t="s">
        <v>39</v>
      </c>
      <c r="H180" s="14">
        <v>13.0</v>
      </c>
      <c r="I180" s="14">
        <v>12.0</v>
      </c>
      <c r="J180" s="16" t="s">
        <v>30</v>
      </c>
      <c r="K180" s="16"/>
      <c r="L180" s="16" t="s">
        <v>59</v>
      </c>
      <c r="M180" s="16" t="s">
        <v>51</v>
      </c>
      <c r="N180" s="16" t="s">
        <v>33</v>
      </c>
      <c r="O180" s="16" t="s">
        <v>116</v>
      </c>
      <c r="P180" s="16" t="s">
        <v>117</v>
      </c>
      <c r="Q180" s="20">
        <v>46219.0</v>
      </c>
      <c r="R180" s="16" t="s">
        <v>118</v>
      </c>
      <c r="S180" s="16" t="s">
        <v>119</v>
      </c>
      <c r="T180" s="19" t="str">
        <f t="shared" si="2"/>
        <v>Series B+ | Standard</v>
      </c>
    </row>
    <row r="181" ht="15.75" customHeight="1">
      <c r="A181" s="16" t="s">
        <v>295</v>
      </c>
      <c r="B181" s="14">
        <v>48.0</v>
      </c>
      <c r="C181" s="15"/>
      <c r="D181" s="16" t="s">
        <v>37</v>
      </c>
      <c r="E181" s="16" t="s">
        <v>63</v>
      </c>
      <c r="F181" s="16" t="s">
        <v>126</v>
      </c>
      <c r="G181" s="16" t="s">
        <v>39</v>
      </c>
      <c r="H181" s="14">
        <v>11.0</v>
      </c>
      <c r="I181" s="14">
        <v>7.0</v>
      </c>
      <c r="J181" s="16" t="s">
        <v>30</v>
      </c>
      <c r="K181" s="16"/>
      <c r="L181" s="16" t="s">
        <v>50</v>
      </c>
      <c r="M181" s="16" t="s">
        <v>32</v>
      </c>
      <c r="N181" s="16" t="s">
        <v>60</v>
      </c>
      <c r="O181" s="16" t="s">
        <v>116</v>
      </c>
      <c r="P181" s="16" t="s">
        <v>117</v>
      </c>
      <c r="Q181" s="20">
        <v>46219.0</v>
      </c>
      <c r="R181" s="16" t="s">
        <v>118</v>
      </c>
      <c r="S181" s="16" t="s">
        <v>119</v>
      </c>
      <c r="T181" s="19" t="str">
        <f t="shared" si="2"/>
        <v>Series A | Standard</v>
      </c>
    </row>
    <row r="182" ht="15.75" customHeight="1">
      <c r="A182" s="16" t="s">
        <v>296</v>
      </c>
      <c r="B182" s="14">
        <v>165.0</v>
      </c>
      <c r="C182" s="15"/>
      <c r="D182" s="16" t="s">
        <v>47</v>
      </c>
      <c r="E182" s="16" t="s">
        <v>48</v>
      </c>
      <c r="F182" s="16" t="s">
        <v>126</v>
      </c>
      <c r="G182" s="16" t="s">
        <v>39</v>
      </c>
      <c r="H182" s="14">
        <v>15.0</v>
      </c>
      <c r="I182" s="14">
        <v>12.0</v>
      </c>
      <c r="J182" s="16" t="s">
        <v>49</v>
      </c>
      <c r="K182" s="16"/>
      <c r="L182" s="16" t="s">
        <v>50</v>
      </c>
      <c r="M182" s="16" t="s">
        <v>42</v>
      </c>
      <c r="N182" s="16" t="s">
        <v>33</v>
      </c>
      <c r="O182" s="16" t="s">
        <v>116</v>
      </c>
      <c r="P182" s="16" t="s">
        <v>117</v>
      </c>
      <c r="Q182" s="20">
        <v>46219.0</v>
      </c>
      <c r="R182" s="16" t="s">
        <v>118</v>
      </c>
      <c r="S182" s="16" t="s">
        <v>119</v>
      </c>
      <c r="T182" s="19" t="str">
        <f t="shared" si="2"/>
        <v>Series B+ | Standard</v>
      </c>
    </row>
    <row r="183" ht="15.75" customHeight="1">
      <c r="A183" s="16" t="s">
        <v>297</v>
      </c>
      <c r="B183" s="14">
        <v>77.0</v>
      </c>
      <c r="C183" s="15"/>
      <c r="D183" s="16" t="s">
        <v>47</v>
      </c>
      <c r="E183" s="16" t="s">
        <v>48</v>
      </c>
      <c r="F183" s="16" t="s">
        <v>87</v>
      </c>
      <c r="G183" s="16" t="s">
        <v>29</v>
      </c>
      <c r="H183" s="14">
        <v>14.0</v>
      </c>
      <c r="I183" s="14">
        <v>5.0</v>
      </c>
      <c r="J183" s="16" t="s">
        <v>30</v>
      </c>
      <c r="K183" s="16"/>
      <c r="L183" s="16" t="s">
        <v>59</v>
      </c>
      <c r="M183" s="16" t="s">
        <v>51</v>
      </c>
      <c r="N183" s="16" t="s">
        <v>33</v>
      </c>
      <c r="O183" s="16" t="s">
        <v>116</v>
      </c>
      <c r="P183" s="16" t="s">
        <v>117</v>
      </c>
      <c r="Q183" s="20">
        <v>46219.0</v>
      </c>
      <c r="R183" s="16" t="s">
        <v>118</v>
      </c>
      <c r="S183" s="16" t="s">
        <v>119</v>
      </c>
      <c r="T183" s="19" t="str">
        <f t="shared" si="2"/>
        <v>Series B+ | High-cost</v>
      </c>
    </row>
    <row r="184" ht="15.75" customHeight="1">
      <c r="A184" s="16" t="s">
        <v>298</v>
      </c>
      <c r="B184" s="14">
        <v>37.0</v>
      </c>
      <c r="C184" s="15"/>
      <c r="D184" s="16" t="s">
        <v>27</v>
      </c>
      <c r="E184" s="16" t="s">
        <v>48</v>
      </c>
      <c r="F184" s="16" t="s">
        <v>131</v>
      </c>
      <c r="G184" s="16" t="s">
        <v>39</v>
      </c>
      <c r="H184" s="14">
        <v>10.0</v>
      </c>
      <c r="I184" s="14">
        <v>3.0</v>
      </c>
      <c r="J184" s="16" t="s">
        <v>30</v>
      </c>
      <c r="K184" s="16"/>
      <c r="L184" s="16" t="s">
        <v>41</v>
      </c>
      <c r="M184" s="16" t="s">
        <v>32</v>
      </c>
      <c r="N184" s="16" t="s">
        <v>33</v>
      </c>
      <c r="O184" s="16" t="s">
        <v>116</v>
      </c>
      <c r="P184" s="16" t="s">
        <v>117</v>
      </c>
      <c r="Q184" s="20">
        <v>46219.0</v>
      </c>
      <c r="R184" s="16" t="s">
        <v>118</v>
      </c>
      <c r="S184" s="16" t="s">
        <v>119</v>
      </c>
      <c r="T184" s="19" t="str">
        <f t="shared" si="2"/>
        <v>Seed | Standard</v>
      </c>
    </row>
    <row r="185" ht="15.75" customHeight="1">
      <c r="A185" s="16" t="s">
        <v>299</v>
      </c>
      <c r="B185" s="14">
        <v>17.0</v>
      </c>
      <c r="C185" s="15"/>
      <c r="D185" s="16" t="s">
        <v>27</v>
      </c>
      <c r="E185" s="16" t="s">
        <v>28</v>
      </c>
      <c r="F185" s="16" t="s">
        <v>83</v>
      </c>
      <c r="G185" s="16" t="s">
        <v>29</v>
      </c>
      <c r="H185" s="14">
        <v>12.0</v>
      </c>
      <c r="I185" s="14">
        <v>4.0</v>
      </c>
      <c r="J185" s="16" t="s">
        <v>40</v>
      </c>
      <c r="K185" s="14">
        <v>50.0</v>
      </c>
      <c r="L185" s="16" t="s">
        <v>41</v>
      </c>
      <c r="M185" s="16" t="s">
        <v>32</v>
      </c>
      <c r="N185" s="16" t="s">
        <v>60</v>
      </c>
      <c r="O185" s="16" t="s">
        <v>116</v>
      </c>
      <c r="P185" s="16" t="s">
        <v>117</v>
      </c>
      <c r="Q185" s="20">
        <v>46219.0</v>
      </c>
      <c r="R185" s="16" t="s">
        <v>118</v>
      </c>
      <c r="S185" s="16" t="s">
        <v>119</v>
      </c>
      <c r="T185" s="19" t="str">
        <f t="shared" si="2"/>
        <v>Seed | High-cost</v>
      </c>
    </row>
    <row r="186" ht="15.75" customHeight="1">
      <c r="A186" s="16" t="s">
        <v>300</v>
      </c>
      <c r="B186" s="14">
        <v>75.0</v>
      </c>
      <c r="C186" s="15"/>
      <c r="D186" s="16" t="s">
        <v>37</v>
      </c>
      <c r="E186" s="16" t="s">
        <v>57</v>
      </c>
      <c r="F186" s="16" t="s">
        <v>101</v>
      </c>
      <c r="G186" s="16" t="s">
        <v>39</v>
      </c>
      <c r="H186" s="14">
        <v>12.0</v>
      </c>
      <c r="I186" s="14">
        <v>9.0</v>
      </c>
      <c r="J186" s="16" t="s">
        <v>30</v>
      </c>
      <c r="K186" s="16"/>
      <c r="L186" s="16" t="s">
        <v>31</v>
      </c>
      <c r="M186" s="16" t="s">
        <v>32</v>
      </c>
      <c r="N186" s="16" t="s">
        <v>52</v>
      </c>
      <c r="O186" s="16" t="s">
        <v>116</v>
      </c>
      <c r="P186" s="16" t="s">
        <v>117</v>
      </c>
      <c r="Q186" s="20">
        <v>46219.0</v>
      </c>
      <c r="R186" s="16" t="s">
        <v>118</v>
      </c>
      <c r="S186" s="16" t="s">
        <v>119</v>
      </c>
      <c r="T186" s="19" t="str">
        <f t="shared" si="2"/>
        <v>Series A | Standard</v>
      </c>
    </row>
    <row r="187" ht="15.75" customHeight="1">
      <c r="A187" s="16" t="s">
        <v>301</v>
      </c>
      <c r="B187" s="14">
        <v>49.0</v>
      </c>
      <c r="C187" s="15"/>
      <c r="D187" s="16" t="s">
        <v>47</v>
      </c>
      <c r="E187" s="16" t="s">
        <v>38</v>
      </c>
      <c r="F187" s="16" t="s">
        <v>129</v>
      </c>
      <c r="G187" s="16" t="s">
        <v>39</v>
      </c>
      <c r="H187" s="14">
        <v>24.0</v>
      </c>
      <c r="I187" s="14">
        <v>6.0</v>
      </c>
      <c r="J187" s="16" t="s">
        <v>49</v>
      </c>
      <c r="K187" s="16"/>
      <c r="L187" s="16" t="s">
        <v>31</v>
      </c>
      <c r="M187" s="16" t="s">
        <v>42</v>
      </c>
      <c r="N187" s="16" t="s">
        <v>52</v>
      </c>
      <c r="O187" s="16" t="s">
        <v>116</v>
      </c>
      <c r="P187" s="16" t="s">
        <v>117</v>
      </c>
      <c r="Q187" s="20">
        <v>46219.0</v>
      </c>
      <c r="R187" s="16" t="s">
        <v>118</v>
      </c>
      <c r="S187" s="16" t="s">
        <v>119</v>
      </c>
      <c r="T187" s="19" t="str">
        <f t="shared" si="2"/>
        <v>Series B+ | Standard</v>
      </c>
    </row>
    <row r="188" ht="15.75" customHeight="1">
      <c r="A188" s="16" t="s">
        <v>302</v>
      </c>
      <c r="B188" s="14">
        <v>42.0</v>
      </c>
      <c r="C188" s="15"/>
      <c r="D188" s="16" t="s">
        <v>47</v>
      </c>
      <c r="E188" s="16" t="s">
        <v>48</v>
      </c>
      <c r="F188" s="16" t="s">
        <v>149</v>
      </c>
      <c r="G188" s="16" t="s">
        <v>39</v>
      </c>
      <c r="H188" s="14">
        <v>19.0</v>
      </c>
      <c r="I188" s="14">
        <v>5.0</v>
      </c>
      <c r="J188" s="16" t="s">
        <v>49</v>
      </c>
      <c r="K188" s="16"/>
      <c r="L188" s="16" t="s">
        <v>50</v>
      </c>
      <c r="M188" s="16" t="s">
        <v>42</v>
      </c>
      <c r="N188" s="16" t="s">
        <v>43</v>
      </c>
      <c r="O188" s="16" t="s">
        <v>116</v>
      </c>
      <c r="P188" s="16" t="s">
        <v>117</v>
      </c>
      <c r="Q188" s="20">
        <v>46219.0</v>
      </c>
      <c r="R188" s="16" t="s">
        <v>118</v>
      </c>
      <c r="S188" s="16" t="s">
        <v>119</v>
      </c>
      <c r="T188" s="19" t="str">
        <f t="shared" si="2"/>
        <v>Series B+ | Standard</v>
      </c>
    </row>
    <row r="189" ht="15.75" customHeight="1">
      <c r="A189" s="16" t="s">
        <v>303</v>
      </c>
      <c r="B189" s="14">
        <v>74.0</v>
      </c>
      <c r="C189" s="15"/>
      <c r="D189" s="16" t="s">
        <v>47</v>
      </c>
      <c r="E189" s="16" t="s">
        <v>63</v>
      </c>
      <c r="F189" s="16" t="s">
        <v>126</v>
      </c>
      <c r="G189" s="16" t="s">
        <v>39</v>
      </c>
      <c r="H189" s="14">
        <v>14.0</v>
      </c>
      <c r="I189" s="14">
        <v>7.0</v>
      </c>
      <c r="J189" s="16" t="s">
        <v>49</v>
      </c>
      <c r="K189" s="16"/>
      <c r="L189" s="16" t="s">
        <v>50</v>
      </c>
      <c r="M189" s="16" t="s">
        <v>32</v>
      </c>
      <c r="N189" s="16" t="s">
        <v>52</v>
      </c>
      <c r="O189" s="16" t="s">
        <v>116</v>
      </c>
      <c r="P189" s="16" t="s">
        <v>117</v>
      </c>
      <c r="Q189" s="20">
        <v>46219.0</v>
      </c>
      <c r="R189" s="16" t="s">
        <v>118</v>
      </c>
      <c r="S189" s="16" t="s">
        <v>119</v>
      </c>
      <c r="T189" s="19" t="str">
        <f t="shared" si="2"/>
        <v>Series B+ | Standard</v>
      </c>
    </row>
    <row r="190" ht="15.75" customHeight="1">
      <c r="A190" s="16" t="s">
        <v>304</v>
      </c>
      <c r="B190" s="14">
        <v>43.0</v>
      </c>
      <c r="C190" s="15"/>
      <c r="D190" s="16" t="s">
        <v>47</v>
      </c>
      <c r="E190" s="16" t="s">
        <v>48</v>
      </c>
      <c r="F190" s="16" t="s">
        <v>91</v>
      </c>
      <c r="G190" s="16" t="s">
        <v>39</v>
      </c>
      <c r="H190" s="14">
        <v>19.0</v>
      </c>
      <c r="I190" s="14">
        <v>14.0</v>
      </c>
      <c r="J190" s="16" t="s">
        <v>40</v>
      </c>
      <c r="K190" s="14">
        <v>60.0</v>
      </c>
      <c r="L190" s="16" t="s">
        <v>59</v>
      </c>
      <c r="M190" s="16" t="s">
        <v>42</v>
      </c>
      <c r="N190" s="16" t="s">
        <v>43</v>
      </c>
      <c r="O190" s="16" t="s">
        <v>116</v>
      </c>
      <c r="P190" s="16" t="s">
        <v>117</v>
      </c>
      <c r="Q190" s="20">
        <v>46219.0</v>
      </c>
      <c r="R190" s="16" t="s">
        <v>118</v>
      </c>
      <c r="S190" s="16" t="s">
        <v>119</v>
      </c>
      <c r="T190" s="19" t="str">
        <f t="shared" si="2"/>
        <v>Series B+ | Standard</v>
      </c>
    </row>
    <row r="191" ht="15.75" customHeight="1">
      <c r="A191" s="16" t="s">
        <v>305</v>
      </c>
      <c r="B191" s="14">
        <v>38.0</v>
      </c>
      <c r="C191" s="15"/>
      <c r="D191" s="16" t="s">
        <v>37</v>
      </c>
      <c r="E191" s="16" t="s">
        <v>38</v>
      </c>
      <c r="F191" s="16" t="s">
        <v>126</v>
      </c>
      <c r="G191" s="16" t="s">
        <v>39</v>
      </c>
      <c r="H191" s="14">
        <v>13.0</v>
      </c>
      <c r="I191" s="14">
        <v>7.0</v>
      </c>
      <c r="J191" s="16" t="s">
        <v>30</v>
      </c>
      <c r="K191" s="16"/>
      <c r="L191" s="16" t="s">
        <v>59</v>
      </c>
      <c r="M191" s="16" t="s">
        <v>32</v>
      </c>
      <c r="N191" s="16" t="s">
        <v>43</v>
      </c>
      <c r="O191" s="16" t="s">
        <v>116</v>
      </c>
      <c r="P191" s="16" t="s">
        <v>117</v>
      </c>
      <c r="Q191" s="20">
        <v>46219.0</v>
      </c>
      <c r="R191" s="16" t="s">
        <v>118</v>
      </c>
      <c r="S191" s="16" t="s">
        <v>119</v>
      </c>
      <c r="T191" s="19" t="str">
        <f t="shared" si="2"/>
        <v>Series A | Standard</v>
      </c>
    </row>
    <row r="192" ht="15.75" customHeight="1">
      <c r="A192" s="16" t="s">
        <v>306</v>
      </c>
      <c r="B192" s="14">
        <v>39.0</v>
      </c>
      <c r="C192" s="15"/>
      <c r="D192" s="16" t="s">
        <v>27</v>
      </c>
      <c r="E192" s="16" t="s">
        <v>28</v>
      </c>
      <c r="F192" s="16" t="s">
        <v>91</v>
      </c>
      <c r="G192" s="16" t="s">
        <v>39</v>
      </c>
      <c r="H192" s="14">
        <v>11.0</v>
      </c>
      <c r="I192" s="14">
        <v>7.0</v>
      </c>
      <c r="J192" s="16" t="s">
        <v>30</v>
      </c>
      <c r="K192" s="16"/>
      <c r="L192" s="16" t="s">
        <v>31</v>
      </c>
      <c r="M192" s="16" t="s">
        <v>42</v>
      </c>
      <c r="N192" s="16" t="s">
        <v>33</v>
      </c>
      <c r="O192" s="16" t="s">
        <v>116</v>
      </c>
      <c r="P192" s="16" t="s">
        <v>117</v>
      </c>
      <c r="Q192" s="20">
        <v>46219.0</v>
      </c>
      <c r="R192" s="16" t="s">
        <v>118</v>
      </c>
      <c r="S192" s="16" t="s">
        <v>119</v>
      </c>
      <c r="T192" s="19" t="str">
        <f t="shared" si="2"/>
        <v>Seed | Standard</v>
      </c>
    </row>
    <row r="193" ht="15.75" customHeight="1">
      <c r="A193" s="16" t="s">
        <v>307</v>
      </c>
      <c r="B193" s="14">
        <v>11.0</v>
      </c>
      <c r="C193" s="15"/>
      <c r="D193" s="16" t="s">
        <v>27</v>
      </c>
      <c r="E193" s="16" t="s">
        <v>57</v>
      </c>
      <c r="F193" s="16" t="s">
        <v>133</v>
      </c>
      <c r="G193" s="16" t="s">
        <v>29</v>
      </c>
      <c r="H193" s="14">
        <v>13.0</v>
      </c>
      <c r="I193" s="14">
        <v>7.0</v>
      </c>
      <c r="J193" s="16" t="s">
        <v>58</v>
      </c>
      <c r="K193" s="16"/>
      <c r="L193" s="16" t="s">
        <v>50</v>
      </c>
      <c r="M193" s="16" t="s">
        <v>42</v>
      </c>
      <c r="N193" s="16" t="s">
        <v>52</v>
      </c>
      <c r="O193" s="16" t="s">
        <v>116</v>
      </c>
      <c r="P193" s="16" t="s">
        <v>117</v>
      </c>
      <c r="Q193" s="20">
        <v>46219.0</v>
      </c>
      <c r="R193" s="16" t="s">
        <v>118</v>
      </c>
      <c r="S193" s="16" t="s">
        <v>119</v>
      </c>
      <c r="T193" s="19" t="str">
        <f t="shared" si="2"/>
        <v>Seed | High-cost</v>
      </c>
    </row>
    <row r="194" ht="15.75" customHeight="1">
      <c r="A194" s="16" t="s">
        <v>308</v>
      </c>
      <c r="B194" s="14">
        <v>95.0</v>
      </c>
      <c r="C194" s="15"/>
      <c r="D194" s="16" t="s">
        <v>47</v>
      </c>
      <c r="E194" s="16" t="s">
        <v>38</v>
      </c>
      <c r="F194" s="16" t="s">
        <v>149</v>
      </c>
      <c r="G194" s="16" t="s">
        <v>39</v>
      </c>
      <c r="H194" s="14">
        <v>23.0</v>
      </c>
      <c r="I194" s="14">
        <v>16.0</v>
      </c>
      <c r="J194" s="16" t="s">
        <v>30</v>
      </c>
      <c r="K194" s="16"/>
      <c r="L194" s="16" t="s">
        <v>59</v>
      </c>
      <c r="M194" s="16" t="s">
        <v>51</v>
      </c>
      <c r="N194" s="16" t="s">
        <v>52</v>
      </c>
      <c r="O194" s="16" t="s">
        <v>116</v>
      </c>
      <c r="P194" s="16" t="s">
        <v>117</v>
      </c>
      <c r="Q194" s="20">
        <v>46219.0</v>
      </c>
      <c r="R194" s="16" t="s">
        <v>118</v>
      </c>
      <c r="S194" s="16" t="s">
        <v>119</v>
      </c>
      <c r="T194" s="19" t="str">
        <f t="shared" si="2"/>
        <v>Series B+ | Standard</v>
      </c>
    </row>
    <row r="195" ht="15.75" customHeight="1">
      <c r="A195" s="16" t="s">
        <v>309</v>
      </c>
      <c r="B195" s="14">
        <v>38.0</v>
      </c>
      <c r="C195" s="15"/>
      <c r="D195" s="16" t="s">
        <v>27</v>
      </c>
      <c r="E195" s="16" t="s">
        <v>63</v>
      </c>
      <c r="F195" s="16" t="s">
        <v>101</v>
      </c>
      <c r="G195" s="16" t="s">
        <v>39</v>
      </c>
      <c r="H195" s="14">
        <v>14.0</v>
      </c>
      <c r="I195" s="14">
        <v>3.0</v>
      </c>
      <c r="J195" s="16" t="s">
        <v>30</v>
      </c>
      <c r="K195" s="16"/>
      <c r="L195" s="16" t="s">
        <v>59</v>
      </c>
      <c r="M195" s="16" t="s">
        <v>32</v>
      </c>
      <c r="N195" s="16" t="s">
        <v>52</v>
      </c>
      <c r="O195" s="16" t="s">
        <v>116</v>
      </c>
      <c r="P195" s="16" t="s">
        <v>117</v>
      </c>
      <c r="Q195" s="20">
        <v>46219.0</v>
      </c>
      <c r="R195" s="16" t="s">
        <v>118</v>
      </c>
      <c r="S195" s="16" t="s">
        <v>119</v>
      </c>
      <c r="T195" s="19" t="str">
        <f t="shared" si="2"/>
        <v>Seed | Standard</v>
      </c>
    </row>
    <row r="196" ht="15.75" customHeight="1">
      <c r="A196" s="16" t="s">
        <v>310</v>
      </c>
      <c r="B196" s="14">
        <v>80.0</v>
      </c>
      <c r="C196" s="15"/>
      <c r="D196" s="16" t="s">
        <v>37</v>
      </c>
      <c r="E196" s="16" t="s">
        <v>57</v>
      </c>
      <c r="F196" s="16" t="s">
        <v>87</v>
      </c>
      <c r="G196" s="16" t="s">
        <v>29</v>
      </c>
      <c r="H196" s="14">
        <v>15.0</v>
      </c>
      <c r="I196" s="14">
        <v>6.0</v>
      </c>
      <c r="J196" s="16" t="s">
        <v>30</v>
      </c>
      <c r="K196" s="16"/>
      <c r="L196" s="16" t="s">
        <v>59</v>
      </c>
      <c r="M196" s="16" t="s">
        <v>51</v>
      </c>
      <c r="N196" s="16" t="s">
        <v>33</v>
      </c>
      <c r="O196" s="16" t="s">
        <v>116</v>
      </c>
      <c r="P196" s="16" t="s">
        <v>117</v>
      </c>
      <c r="Q196" s="20">
        <v>46219.0</v>
      </c>
      <c r="R196" s="16" t="s">
        <v>118</v>
      </c>
      <c r="S196" s="16" t="s">
        <v>119</v>
      </c>
      <c r="T196" s="19" t="str">
        <f t="shared" si="2"/>
        <v>Series A | High-cost</v>
      </c>
    </row>
    <row r="197" ht="15.75" customHeight="1">
      <c r="A197" s="16" t="s">
        <v>311</v>
      </c>
      <c r="B197" s="14">
        <v>141.0</v>
      </c>
      <c r="C197" s="15"/>
      <c r="D197" s="16" t="s">
        <v>47</v>
      </c>
      <c r="E197" s="16" t="s">
        <v>48</v>
      </c>
      <c r="F197" s="16" t="s">
        <v>87</v>
      </c>
      <c r="G197" s="16" t="s">
        <v>29</v>
      </c>
      <c r="H197" s="14">
        <v>21.0</v>
      </c>
      <c r="I197" s="14">
        <v>7.0</v>
      </c>
      <c r="J197" s="16" t="s">
        <v>40</v>
      </c>
      <c r="K197" s="14">
        <v>50.0</v>
      </c>
      <c r="L197" s="16" t="s">
        <v>59</v>
      </c>
      <c r="M197" s="16" t="s">
        <v>42</v>
      </c>
      <c r="N197" s="16" t="s">
        <v>52</v>
      </c>
      <c r="O197" s="16" t="s">
        <v>116</v>
      </c>
      <c r="P197" s="16" t="s">
        <v>117</v>
      </c>
      <c r="Q197" s="20">
        <v>46219.0</v>
      </c>
      <c r="R197" s="16" t="s">
        <v>118</v>
      </c>
      <c r="S197" s="16" t="s">
        <v>119</v>
      </c>
      <c r="T197" s="19" t="str">
        <f t="shared" si="2"/>
        <v>Series B+ | High-cost</v>
      </c>
    </row>
    <row r="198" ht="15.75" customHeight="1">
      <c r="A198" s="16" t="s">
        <v>312</v>
      </c>
      <c r="B198" s="14">
        <v>57.0</v>
      </c>
      <c r="C198" s="15"/>
      <c r="D198" s="16" t="s">
        <v>47</v>
      </c>
      <c r="E198" s="16" t="s">
        <v>57</v>
      </c>
      <c r="F198" s="16" t="s">
        <v>87</v>
      </c>
      <c r="G198" s="16" t="s">
        <v>29</v>
      </c>
      <c r="H198" s="14">
        <v>14.0</v>
      </c>
      <c r="I198" s="14">
        <v>10.0</v>
      </c>
      <c r="J198" s="16" t="s">
        <v>30</v>
      </c>
      <c r="K198" s="16"/>
      <c r="L198" s="16" t="s">
        <v>41</v>
      </c>
      <c r="M198" s="16" t="s">
        <v>51</v>
      </c>
      <c r="N198" s="16" t="s">
        <v>60</v>
      </c>
      <c r="O198" s="16" t="s">
        <v>116</v>
      </c>
      <c r="P198" s="16" t="s">
        <v>117</v>
      </c>
      <c r="Q198" s="20">
        <v>46219.0</v>
      </c>
      <c r="R198" s="16" t="s">
        <v>118</v>
      </c>
      <c r="S198" s="16" t="s">
        <v>119</v>
      </c>
      <c r="T198" s="19" t="str">
        <f t="shared" si="2"/>
        <v>Series B+ | High-cost</v>
      </c>
    </row>
    <row r="199" ht="15.75" customHeight="1">
      <c r="A199" s="16" t="s">
        <v>313</v>
      </c>
      <c r="B199" s="14">
        <v>84.0</v>
      </c>
      <c r="C199" s="15"/>
      <c r="D199" s="16" t="s">
        <v>37</v>
      </c>
      <c r="E199" s="16" t="s">
        <v>38</v>
      </c>
      <c r="F199" s="16" t="s">
        <v>122</v>
      </c>
      <c r="G199" s="16" t="s">
        <v>39</v>
      </c>
      <c r="H199" s="14">
        <v>9.0</v>
      </c>
      <c r="I199" s="14">
        <v>5.0</v>
      </c>
      <c r="J199" s="16" t="s">
        <v>58</v>
      </c>
      <c r="K199" s="16"/>
      <c r="L199" s="16" t="s">
        <v>59</v>
      </c>
      <c r="M199" s="16" t="s">
        <v>51</v>
      </c>
      <c r="N199" s="16" t="s">
        <v>33</v>
      </c>
      <c r="O199" s="16" t="s">
        <v>116</v>
      </c>
      <c r="P199" s="16" t="s">
        <v>117</v>
      </c>
      <c r="Q199" s="20">
        <v>46219.0</v>
      </c>
      <c r="R199" s="16" t="s">
        <v>118</v>
      </c>
      <c r="S199" s="16" t="s">
        <v>119</v>
      </c>
      <c r="T199" s="19" t="str">
        <f t="shared" si="2"/>
        <v>Series A | Standard</v>
      </c>
    </row>
    <row r="200" ht="15.75" customHeight="1">
      <c r="A200" s="16" t="s">
        <v>314</v>
      </c>
      <c r="B200" s="14">
        <v>116.0</v>
      </c>
      <c r="C200" s="15"/>
      <c r="D200" s="16" t="s">
        <v>47</v>
      </c>
      <c r="E200" s="16" t="s">
        <v>57</v>
      </c>
      <c r="F200" s="16" t="s">
        <v>131</v>
      </c>
      <c r="G200" s="16" t="s">
        <v>39</v>
      </c>
      <c r="H200" s="14">
        <v>16.0</v>
      </c>
      <c r="I200" s="14">
        <v>12.0</v>
      </c>
      <c r="J200" s="16" t="s">
        <v>30</v>
      </c>
      <c r="K200" s="16"/>
      <c r="L200" s="16" t="s">
        <v>41</v>
      </c>
      <c r="M200" s="16" t="s">
        <v>32</v>
      </c>
      <c r="N200" s="16" t="s">
        <v>43</v>
      </c>
      <c r="O200" s="16" t="s">
        <v>116</v>
      </c>
      <c r="P200" s="16" t="s">
        <v>117</v>
      </c>
      <c r="Q200" s="20">
        <v>46219.0</v>
      </c>
      <c r="R200" s="16" t="s">
        <v>118</v>
      </c>
      <c r="S200" s="16" t="s">
        <v>119</v>
      </c>
      <c r="T200" s="19" t="str">
        <f t="shared" si="2"/>
        <v>Series B+ | Standard</v>
      </c>
    </row>
    <row r="201" ht="15.75" customHeight="1">
      <c r="A201" s="16" t="s">
        <v>315</v>
      </c>
      <c r="B201" s="14">
        <v>10.0</v>
      </c>
      <c r="C201" s="15"/>
      <c r="D201" s="16" t="s">
        <v>27</v>
      </c>
      <c r="E201" s="16" t="s">
        <v>28</v>
      </c>
      <c r="F201" s="16" t="s">
        <v>129</v>
      </c>
      <c r="G201" s="16" t="s">
        <v>39</v>
      </c>
      <c r="H201" s="14">
        <v>6.0</v>
      </c>
      <c r="I201" s="14">
        <v>3.0</v>
      </c>
      <c r="J201" s="16" t="s">
        <v>30</v>
      </c>
      <c r="K201" s="16"/>
      <c r="L201" s="16" t="s">
        <v>31</v>
      </c>
      <c r="M201" s="16" t="s">
        <v>51</v>
      </c>
      <c r="N201" s="16" t="s">
        <v>33</v>
      </c>
      <c r="O201" s="16" t="s">
        <v>116</v>
      </c>
      <c r="P201" s="16" t="s">
        <v>117</v>
      </c>
      <c r="Q201" s="20">
        <v>46219.0</v>
      </c>
      <c r="R201" s="16" t="s">
        <v>118</v>
      </c>
      <c r="S201" s="16" t="s">
        <v>119</v>
      </c>
      <c r="T201" s="19" t="str">
        <f t="shared" si="2"/>
        <v>Seed | Standard</v>
      </c>
    </row>
    <row r="202" ht="15.75" customHeight="1">
      <c r="A202" s="16" t="s">
        <v>316</v>
      </c>
      <c r="B202" s="14">
        <v>5.0</v>
      </c>
      <c r="C202" s="15"/>
      <c r="D202" s="16" t="s">
        <v>27</v>
      </c>
      <c r="E202" s="16" t="s">
        <v>57</v>
      </c>
      <c r="F202" s="16" t="s">
        <v>126</v>
      </c>
      <c r="G202" s="16" t="s">
        <v>39</v>
      </c>
      <c r="H202" s="14">
        <v>9.0</v>
      </c>
      <c r="I202" s="14">
        <v>6.0</v>
      </c>
      <c r="J202" s="16" t="s">
        <v>30</v>
      </c>
      <c r="K202" s="16"/>
      <c r="L202" s="16" t="s">
        <v>31</v>
      </c>
      <c r="M202" s="16" t="s">
        <v>32</v>
      </c>
      <c r="N202" s="16" t="s">
        <v>43</v>
      </c>
      <c r="O202" s="16" t="s">
        <v>116</v>
      </c>
      <c r="P202" s="16" t="s">
        <v>117</v>
      </c>
      <c r="Q202" s="20">
        <v>46219.0</v>
      </c>
      <c r="R202" s="16" t="s">
        <v>118</v>
      </c>
      <c r="S202" s="16" t="s">
        <v>119</v>
      </c>
      <c r="T202" s="19" t="str">
        <f t="shared" si="2"/>
        <v>Seed | Standard</v>
      </c>
    </row>
    <row r="203" ht="15.75" customHeight="1">
      <c r="A203" s="16" t="s">
        <v>317</v>
      </c>
      <c r="B203" s="14">
        <v>187.0</v>
      </c>
      <c r="C203" s="15"/>
      <c r="D203" s="16" t="s">
        <v>47</v>
      </c>
      <c r="E203" s="16" t="s">
        <v>48</v>
      </c>
      <c r="F203" s="16" t="s">
        <v>149</v>
      </c>
      <c r="G203" s="16" t="s">
        <v>39</v>
      </c>
      <c r="H203" s="14">
        <v>19.0</v>
      </c>
      <c r="I203" s="14">
        <v>16.0</v>
      </c>
      <c r="J203" s="16" t="s">
        <v>40</v>
      </c>
      <c r="K203" s="14">
        <v>70.0</v>
      </c>
      <c r="L203" s="16" t="s">
        <v>41</v>
      </c>
      <c r="M203" s="16" t="s">
        <v>42</v>
      </c>
      <c r="N203" s="16" t="s">
        <v>60</v>
      </c>
      <c r="O203" s="16" t="s">
        <v>116</v>
      </c>
      <c r="P203" s="16" t="s">
        <v>117</v>
      </c>
      <c r="Q203" s="20">
        <v>46219.0</v>
      </c>
      <c r="R203" s="16" t="s">
        <v>118</v>
      </c>
      <c r="S203" s="16" t="s">
        <v>119</v>
      </c>
      <c r="T203" s="19" t="str">
        <f t="shared" si="2"/>
        <v>Series B+ | Standard</v>
      </c>
    </row>
    <row r="204" ht="15.75" customHeight="1">
      <c r="A204" s="16" t="s">
        <v>318</v>
      </c>
      <c r="B204" s="14">
        <v>22.0</v>
      </c>
      <c r="C204" s="15"/>
      <c r="D204" s="16" t="s">
        <v>27</v>
      </c>
      <c r="E204" s="16" t="s">
        <v>48</v>
      </c>
      <c r="F204" s="16" t="s">
        <v>87</v>
      </c>
      <c r="G204" s="16" t="s">
        <v>29</v>
      </c>
      <c r="H204" s="14">
        <v>14.0</v>
      </c>
      <c r="I204" s="14">
        <v>6.0</v>
      </c>
      <c r="J204" s="16" t="s">
        <v>49</v>
      </c>
      <c r="K204" s="16"/>
      <c r="L204" s="16" t="s">
        <v>41</v>
      </c>
      <c r="M204" s="16" t="s">
        <v>51</v>
      </c>
      <c r="N204" s="16" t="s">
        <v>52</v>
      </c>
      <c r="O204" s="16" t="s">
        <v>116</v>
      </c>
      <c r="P204" s="16" t="s">
        <v>117</v>
      </c>
      <c r="Q204" s="20">
        <v>46219.0</v>
      </c>
      <c r="R204" s="16" t="s">
        <v>118</v>
      </c>
      <c r="S204" s="16" t="s">
        <v>119</v>
      </c>
      <c r="T204" s="19" t="str">
        <f t="shared" si="2"/>
        <v>Seed | High-cost</v>
      </c>
    </row>
    <row r="205" ht="15.75" customHeight="1">
      <c r="A205" s="16" t="s">
        <v>319</v>
      </c>
      <c r="B205" s="14">
        <v>25.0</v>
      </c>
      <c r="C205" s="15"/>
      <c r="D205" s="16" t="s">
        <v>27</v>
      </c>
      <c r="E205" s="16" t="s">
        <v>57</v>
      </c>
      <c r="F205" s="16" t="s">
        <v>131</v>
      </c>
      <c r="G205" s="16" t="s">
        <v>39</v>
      </c>
      <c r="H205" s="14">
        <v>11.0</v>
      </c>
      <c r="I205" s="14">
        <v>7.0</v>
      </c>
      <c r="J205" s="16" t="s">
        <v>30</v>
      </c>
      <c r="K205" s="16"/>
      <c r="L205" s="16" t="s">
        <v>41</v>
      </c>
      <c r="M205" s="16" t="s">
        <v>42</v>
      </c>
      <c r="N205" s="16" t="s">
        <v>33</v>
      </c>
      <c r="O205" s="16" t="s">
        <v>116</v>
      </c>
      <c r="P205" s="16" t="s">
        <v>117</v>
      </c>
      <c r="Q205" s="20">
        <v>46219.0</v>
      </c>
      <c r="R205" s="16" t="s">
        <v>118</v>
      </c>
      <c r="S205" s="16" t="s">
        <v>119</v>
      </c>
      <c r="T205" s="19" t="str">
        <f t="shared" si="2"/>
        <v>Seed | Standard</v>
      </c>
    </row>
    <row r="206" ht="15.75" customHeight="1">
      <c r="A206" s="16" t="s">
        <v>320</v>
      </c>
      <c r="B206" s="14">
        <v>116.0</v>
      </c>
      <c r="C206" s="15"/>
      <c r="D206" s="16" t="s">
        <v>47</v>
      </c>
      <c r="E206" s="16" t="s">
        <v>38</v>
      </c>
      <c r="F206" s="16" t="s">
        <v>126</v>
      </c>
      <c r="G206" s="16" t="s">
        <v>39</v>
      </c>
      <c r="H206" s="14">
        <v>24.0</v>
      </c>
      <c r="I206" s="14">
        <v>4.0</v>
      </c>
      <c r="J206" s="16" t="s">
        <v>40</v>
      </c>
      <c r="K206" s="14">
        <v>75.0</v>
      </c>
      <c r="L206" s="16" t="s">
        <v>41</v>
      </c>
      <c r="M206" s="16" t="s">
        <v>42</v>
      </c>
      <c r="N206" s="16" t="s">
        <v>33</v>
      </c>
      <c r="O206" s="16" t="s">
        <v>116</v>
      </c>
      <c r="P206" s="16" t="s">
        <v>117</v>
      </c>
      <c r="Q206" s="20">
        <v>46219.0</v>
      </c>
      <c r="R206" s="16" t="s">
        <v>118</v>
      </c>
      <c r="S206" s="16" t="s">
        <v>119</v>
      </c>
      <c r="T206" s="19" t="str">
        <f t="shared" si="2"/>
        <v>Series B+ | Standard</v>
      </c>
    </row>
    <row r="207" ht="15.75" customHeight="1">
      <c r="A207" s="16" t="s">
        <v>321</v>
      </c>
      <c r="B207" s="14">
        <v>72.0</v>
      </c>
      <c r="C207" s="15"/>
      <c r="D207" s="16" t="s">
        <v>37</v>
      </c>
      <c r="E207" s="16" t="s">
        <v>48</v>
      </c>
      <c r="F207" s="16" t="s">
        <v>83</v>
      </c>
      <c r="G207" s="16" t="s">
        <v>29</v>
      </c>
      <c r="H207" s="14">
        <v>16.0</v>
      </c>
      <c r="I207" s="14">
        <v>7.0</v>
      </c>
      <c r="J207" s="16" t="s">
        <v>30</v>
      </c>
      <c r="K207" s="16"/>
      <c r="L207" s="16" t="s">
        <v>59</v>
      </c>
      <c r="M207" s="16" t="s">
        <v>51</v>
      </c>
      <c r="N207" s="16" t="s">
        <v>43</v>
      </c>
      <c r="O207" s="16" t="s">
        <v>116</v>
      </c>
      <c r="P207" s="16" t="s">
        <v>117</v>
      </c>
      <c r="Q207" s="20">
        <v>46219.0</v>
      </c>
      <c r="R207" s="16" t="s">
        <v>118</v>
      </c>
      <c r="S207" s="16" t="s">
        <v>119</v>
      </c>
      <c r="T207" s="19" t="str">
        <f t="shared" si="2"/>
        <v>Series A | High-cost</v>
      </c>
    </row>
    <row r="208" ht="15.75" customHeight="1">
      <c r="A208" s="16" t="s">
        <v>322</v>
      </c>
      <c r="B208" s="14">
        <v>40.0</v>
      </c>
      <c r="C208" s="15"/>
      <c r="D208" s="16" t="s">
        <v>27</v>
      </c>
      <c r="E208" s="16" t="s">
        <v>63</v>
      </c>
      <c r="F208" s="16" t="s">
        <v>101</v>
      </c>
      <c r="G208" s="16" t="s">
        <v>39</v>
      </c>
      <c r="H208" s="14">
        <v>13.0</v>
      </c>
      <c r="I208" s="14">
        <v>3.0</v>
      </c>
      <c r="J208" s="16" t="s">
        <v>49</v>
      </c>
      <c r="K208" s="16"/>
      <c r="L208" s="16" t="s">
        <v>50</v>
      </c>
      <c r="M208" s="16" t="s">
        <v>42</v>
      </c>
      <c r="N208" s="16" t="s">
        <v>60</v>
      </c>
      <c r="O208" s="16" t="s">
        <v>116</v>
      </c>
      <c r="P208" s="16" t="s">
        <v>117</v>
      </c>
      <c r="Q208" s="20">
        <v>46219.0</v>
      </c>
      <c r="R208" s="16" t="s">
        <v>118</v>
      </c>
      <c r="S208" s="16" t="s">
        <v>119</v>
      </c>
      <c r="T208" s="19" t="str">
        <f t="shared" si="2"/>
        <v>Seed | Standard</v>
      </c>
    </row>
    <row r="209" ht="15.75" customHeight="1">
      <c r="A209" s="16" t="s">
        <v>323</v>
      </c>
      <c r="B209" s="14">
        <v>70.0</v>
      </c>
      <c r="C209" s="15"/>
      <c r="D209" s="16" t="s">
        <v>47</v>
      </c>
      <c r="E209" s="16" t="s">
        <v>57</v>
      </c>
      <c r="F209" s="16" t="s">
        <v>101</v>
      </c>
      <c r="G209" s="16" t="s">
        <v>39</v>
      </c>
      <c r="H209" s="14">
        <v>21.0</v>
      </c>
      <c r="I209" s="14">
        <v>13.0</v>
      </c>
      <c r="J209" s="16" t="s">
        <v>40</v>
      </c>
      <c r="K209" s="14">
        <v>75.0</v>
      </c>
      <c r="L209" s="16" t="s">
        <v>41</v>
      </c>
      <c r="M209" s="16" t="s">
        <v>51</v>
      </c>
      <c r="N209" s="16" t="s">
        <v>33</v>
      </c>
      <c r="O209" s="16" t="s">
        <v>116</v>
      </c>
      <c r="P209" s="16" t="s">
        <v>117</v>
      </c>
      <c r="Q209" s="20">
        <v>46219.0</v>
      </c>
      <c r="R209" s="16" t="s">
        <v>118</v>
      </c>
      <c r="S209" s="16" t="s">
        <v>119</v>
      </c>
      <c r="T209" s="19" t="str">
        <f t="shared" si="2"/>
        <v>Series B+ | Standard</v>
      </c>
    </row>
    <row r="210" ht="15.75" customHeight="1">
      <c r="A210" s="16" t="s">
        <v>324</v>
      </c>
      <c r="B210" s="14">
        <v>60.0</v>
      </c>
      <c r="C210" s="15"/>
      <c r="D210" s="16" t="s">
        <v>37</v>
      </c>
      <c r="E210" s="16" t="s">
        <v>48</v>
      </c>
      <c r="F210" s="16" t="s">
        <v>91</v>
      </c>
      <c r="G210" s="16" t="s">
        <v>39</v>
      </c>
      <c r="H210" s="14">
        <v>13.0</v>
      </c>
      <c r="I210" s="14">
        <v>12.0</v>
      </c>
      <c r="J210" s="16" t="s">
        <v>49</v>
      </c>
      <c r="K210" s="16"/>
      <c r="L210" s="16" t="s">
        <v>59</v>
      </c>
      <c r="M210" s="16" t="s">
        <v>32</v>
      </c>
      <c r="N210" s="16" t="s">
        <v>52</v>
      </c>
      <c r="O210" s="16" t="s">
        <v>116</v>
      </c>
      <c r="P210" s="16" t="s">
        <v>117</v>
      </c>
      <c r="Q210" s="20">
        <v>46219.0</v>
      </c>
      <c r="R210" s="16" t="s">
        <v>118</v>
      </c>
      <c r="S210" s="16" t="s">
        <v>119</v>
      </c>
      <c r="T210" s="19" t="str">
        <f t="shared" si="2"/>
        <v>Series A | Standard</v>
      </c>
    </row>
    <row r="211" ht="15.75" customHeight="1">
      <c r="C211" s="19" t="str">
        <f>IF($B211="","",IF($B211&lt;='Ranges - Config'!$B$10,"1-25",IF($B211&lt;='Ranges - Config'!$B$11,"26-75",IF($B211&lt;='Ranges - Config'!$B$12,"76-200","OVER 200 !"))))</f>
        <v/>
      </c>
      <c r="D211" s="22"/>
      <c r="E211" s="22"/>
      <c r="G211" s="22"/>
      <c r="J211" s="22"/>
      <c r="L211" s="22"/>
      <c r="M211" s="22"/>
      <c r="N211" s="22"/>
      <c r="O211" s="22"/>
      <c r="Q211" s="23"/>
      <c r="R211" s="22"/>
      <c r="T211" s="19" t="str">
        <f t="shared" si="2"/>
        <v/>
      </c>
    </row>
    <row r="212" ht="15.75" customHeight="1">
      <c r="C212" s="19" t="str">
        <f>IF($B212="","",IF($B212&lt;='Ranges - Config'!$B$10,"1-25",IF($B212&lt;='Ranges - Config'!$B$11,"26-75",IF($B212&lt;='Ranges - Config'!$B$12,"76-200","OVER 200 !"))))</f>
        <v/>
      </c>
      <c r="D212" s="22"/>
      <c r="E212" s="22"/>
      <c r="G212" s="22"/>
      <c r="J212" s="22"/>
      <c r="L212" s="22"/>
      <c r="M212" s="22"/>
      <c r="N212" s="22"/>
      <c r="O212" s="22"/>
      <c r="Q212" s="23"/>
      <c r="R212" s="22"/>
      <c r="T212" s="19" t="str">
        <f t="shared" si="2"/>
        <v/>
      </c>
    </row>
    <row r="213" ht="15.75" customHeight="1">
      <c r="C213" s="19" t="str">
        <f>IF($B213="","",IF($B213&lt;='Ranges - Config'!$B$10,"1-25",IF($B213&lt;='Ranges - Config'!$B$11,"26-75",IF($B213&lt;='Ranges - Config'!$B$12,"76-200","OVER 200 !"))))</f>
        <v/>
      </c>
      <c r="D213" s="22"/>
      <c r="E213" s="22"/>
      <c r="G213" s="22"/>
      <c r="J213" s="22"/>
      <c r="L213" s="22"/>
      <c r="M213" s="22"/>
      <c r="N213" s="22"/>
      <c r="O213" s="22"/>
      <c r="Q213" s="23"/>
      <c r="R213" s="22"/>
      <c r="T213" s="19" t="str">
        <f t="shared" si="2"/>
        <v/>
      </c>
    </row>
    <row r="214" ht="15.75" customHeight="1">
      <c r="C214" s="19" t="str">
        <f>IF($B214="","",IF($B214&lt;='Ranges - Config'!$B$10,"1-25",IF($B214&lt;='Ranges - Config'!$B$11,"26-75",IF($B214&lt;='Ranges - Config'!$B$12,"76-200","OVER 200 !"))))</f>
        <v/>
      </c>
      <c r="D214" s="22"/>
      <c r="E214" s="22"/>
      <c r="G214" s="22"/>
      <c r="J214" s="22"/>
      <c r="L214" s="22"/>
      <c r="M214" s="22"/>
      <c r="N214" s="22"/>
      <c r="O214" s="22"/>
      <c r="Q214" s="23"/>
      <c r="R214" s="22"/>
      <c r="T214" s="19" t="str">
        <f t="shared" si="2"/>
        <v/>
      </c>
    </row>
    <row r="215" ht="15.75" customHeight="1">
      <c r="C215" s="19" t="str">
        <f>IF($B215="","",IF($B215&lt;='Ranges - Config'!$B$10,"1-25",IF($B215&lt;='Ranges - Config'!$B$11,"26-75",IF($B215&lt;='Ranges - Config'!$B$12,"76-200","OVER 200 !"))))</f>
        <v/>
      </c>
      <c r="D215" s="22"/>
      <c r="E215" s="22"/>
      <c r="G215" s="22"/>
      <c r="J215" s="22"/>
      <c r="L215" s="22"/>
      <c r="M215" s="22"/>
      <c r="N215" s="22"/>
      <c r="O215" s="22"/>
      <c r="Q215" s="23"/>
      <c r="R215" s="22"/>
      <c r="T215" s="19" t="str">
        <f t="shared" si="2"/>
        <v/>
      </c>
    </row>
    <row r="216" ht="15.75" customHeight="1">
      <c r="C216" s="19" t="str">
        <f>IF($B216="","",IF($B216&lt;='Ranges - Config'!$B$10,"1-25",IF($B216&lt;='Ranges - Config'!$B$11,"26-75",IF($B216&lt;='Ranges - Config'!$B$12,"76-200","OVER 200 !"))))</f>
        <v/>
      </c>
      <c r="D216" s="22"/>
      <c r="E216" s="22"/>
      <c r="G216" s="22"/>
      <c r="J216" s="22"/>
      <c r="L216" s="22"/>
      <c r="M216" s="22"/>
      <c r="N216" s="22"/>
      <c r="O216" s="22"/>
      <c r="Q216" s="23"/>
      <c r="R216" s="22"/>
      <c r="T216" s="19" t="str">
        <f t="shared" si="2"/>
        <v/>
      </c>
    </row>
    <row r="217" ht="15.75" customHeight="1">
      <c r="C217" s="19" t="str">
        <f>IF($B217="","",IF($B217&lt;='Ranges - Config'!$B$10,"1-25",IF($B217&lt;='Ranges - Config'!$B$11,"26-75",IF($B217&lt;='Ranges - Config'!$B$12,"76-200","OVER 200 !"))))</f>
        <v/>
      </c>
      <c r="D217" s="22"/>
      <c r="E217" s="22"/>
      <c r="G217" s="22"/>
      <c r="J217" s="22"/>
      <c r="L217" s="22"/>
      <c r="M217" s="22"/>
      <c r="N217" s="22"/>
      <c r="O217" s="22"/>
      <c r="Q217" s="23"/>
      <c r="R217" s="22"/>
      <c r="T217" s="19" t="str">
        <f t="shared" si="2"/>
        <v/>
      </c>
    </row>
    <row r="218" ht="15.75" customHeight="1">
      <c r="C218" s="19" t="str">
        <f>IF($B218="","",IF($B218&lt;='Ranges - Config'!$B$10,"1-25",IF($B218&lt;='Ranges - Config'!$B$11,"26-75",IF($B218&lt;='Ranges - Config'!$B$12,"76-200","OVER 200 !"))))</f>
        <v/>
      </c>
      <c r="D218" s="22"/>
      <c r="E218" s="22"/>
      <c r="G218" s="22"/>
      <c r="J218" s="22"/>
      <c r="L218" s="22"/>
      <c r="M218" s="22"/>
      <c r="N218" s="22"/>
      <c r="O218" s="22"/>
      <c r="Q218" s="23"/>
      <c r="R218" s="22"/>
      <c r="T218" s="19" t="str">
        <f t="shared" si="2"/>
        <v/>
      </c>
    </row>
    <row r="219" ht="15.75" customHeight="1">
      <c r="C219" s="19" t="str">
        <f>IF($B219="","",IF($B219&lt;='Ranges - Config'!$B$10,"1-25",IF($B219&lt;='Ranges - Config'!$B$11,"26-75",IF($B219&lt;='Ranges - Config'!$B$12,"76-200","OVER 200 !"))))</f>
        <v/>
      </c>
      <c r="D219" s="22"/>
      <c r="E219" s="22"/>
      <c r="G219" s="22"/>
      <c r="J219" s="22"/>
      <c r="L219" s="22"/>
      <c r="M219" s="22"/>
      <c r="N219" s="22"/>
      <c r="O219" s="22"/>
      <c r="Q219" s="23"/>
      <c r="R219" s="22"/>
      <c r="T219" s="19" t="str">
        <f t="shared" si="2"/>
        <v/>
      </c>
    </row>
    <row r="220" ht="15.75" customHeight="1">
      <c r="C220" s="19" t="str">
        <f>IF($B220="","",IF($B220&lt;='Ranges - Config'!$B$10,"1-25",IF($B220&lt;='Ranges - Config'!$B$11,"26-75",IF($B220&lt;='Ranges - Config'!$B$12,"76-200","OVER 200 !"))))</f>
        <v/>
      </c>
      <c r="D220" s="22"/>
      <c r="E220" s="22"/>
      <c r="G220" s="22"/>
      <c r="J220" s="22"/>
      <c r="L220" s="22"/>
      <c r="M220" s="22"/>
      <c r="N220" s="22"/>
      <c r="O220" s="22"/>
      <c r="Q220" s="23"/>
      <c r="R220" s="22"/>
      <c r="T220" s="19" t="str">
        <f t="shared" si="2"/>
        <v/>
      </c>
    </row>
    <row r="221" ht="15.75" customHeight="1">
      <c r="C221" s="19" t="str">
        <f>IF($B221="","",IF($B221&lt;='Ranges - Config'!$B$10,"1-25",IF($B221&lt;='Ranges - Config'!$B$11,"26-75",IF($B221&lt;='Ranges - Config'!$B$12,"76-200","OVER 200 !"))))</f>
        <v/>
      </c>
      <c r="D221" s="22"/>
      <c r="E221" s="22"/>
      <c r="G221" s="22"/>
      <c r="J221" s="22"/>
      <c r="L221" s="22"/>
      <c r="M221" s="22"/>
      <c r="N221" s="22"/>
      <c r="O221" s="22"/>
      <c r="Q221" s="23"/>
      <c r="R221" s="22"/>
      <c r="T221" s="19" t="str">
        <f t="shared" si="2"/>
        <v/>
      </c>
    </row>
    <row r="222" ht="15.75" customHeight="1">
      <c r="C222" s="19" t="str">
        <f>IF($B222="","",IF($B222&lt;='Ranges - Config'!$B$10,"1-25",IF($B222&lt;='Ranges - Config'!$B$11,"26-75",IF($B222&lt;='Ranges - Config'!$B$12,"76-200","OVER 200 !"))))</f>
        <v/>
      </c>
      <c r="D222" s="22"/>
      <c r="E222" s="22"/>
      <c r="G222" s="22"/>
      <c r="J222" s="22"/>
      <c r="L222" s="22"/>
      <c r="M222" s="22"/>
      <c r="N222" s="22"/>
      <c r="O222" s="22"/>
      <c r="Q222" s="23"/>
      <c r="R222" s="22"/>
      <c r="T222" s="19" t="str">
        <f t="shared" si="2"/>
        <v/>
      </c>
    </row>
    <row r="223" ht="15.75" customHeight="1">
      <c r="C223" s="19" t="str">
        <f>IF($B223="","",IF($B223&lt;='Ranges - Config'!$B$10,"1-25",IF($B223&lt;='Ranges - Config'!$B$11,"26-75",IF($B223&lt;='Ranges - Config'!$B$12,"76-200","OVER 200 !"))))</f>
        <v/>
      </c>
      <c r="D223" s="22"/>
      <c r="E223" s="22"/>
      <c r="G223" s="22"/>
      <c r="J223" s="22"/>
      <c r="L223" s="22"/>
      <c r="M223" s="22"/>
      <c r="N223" s="22"/>
      <c r="O223" s="22"/>
      <c r="Q223" s="23"/>
      <c r="R223" s="22"/>
      <c r="T223" s="19" t="str">
        <f t="shared" si="2"/>
        <v/>
      </c>
    </row>
    <row r="224" ht="15.75" customHeight="1">
      <c r="C224" s="19" t="str">
        <f>IF($B224="","",IF($B224&lt;='Ranges - Config'!$B$10,"1-25",IF($B224&lt;='Ranges - Config'!$B$11,"26-75",IF($B224&lt;='Ranges - Config'!$B$12,"76-200","OVER 200 !"))))</f>
        <v/>
      </c>
      <c r="D224" s="22"/>
      <c r="E224" s="22"/>
      <c r="G224" s="22"/>
      <c r="J224" s="22"/>
      <c r="L224" s="22"/>
      <c r="M224" s="22"/>
      <c r="N224" s="22"/>
      <c r="O224" s="22"/>
      <c r="Q224" s="23"/>
      <c r="R224" s="22"/>
      <c r="T224" s="19" t="str">
        <f t="shared" si="2"/>
        <v/>
      </c>
    </row>
    <row r="225" ht="15.75" customHeight="1">
      <c r="C225" s="19" t="str">
        <f>IF($B225="","",IF($B225&lt;='Ranges - Config'!$B$10,"1-25",IF($B225&lt;='Ranges - Config'!$B$11,"26-75",IF($B225&lt;='Ranges - Config'!$B$12,"76-200","OVER 200 !"))))</f>
        <v/>
      </c>
      <c r="D225" s="22"/>
      <c r="E225" s="22"/>
      <c r="G225" s="22"/>
      <c r="J225" s="22"/>
      <c r="L225" s="22"/>
      <c r="M225" s="22"/>
      <c r="N225" s="22"/>
      <c r="O225" s="22"/>
      <c r="Q225" s="23"/>
      <c r="R225" s="22"/>
      <c r="T225" s="19" t="str">
        <f t="shared" si="2"/>
        <v/>
      </c>
    </row>
    <row r="226" ht="15.75" customHeight="1">
      <c r="C226" s="19" t="str">
        <f>IF($B226="","",IF($B226&lt;='Ranges - Config'!$B$10,"1-25",IF($B226&lt;='Ranges - Config'!$B$11,"26-75",IF($B226&lt;='Ranges - Config'!$B$12,"76-200","OVER 200 !"))))</f>
        <v/>
      </c>
      <c r="D226" s="22"/>
      <c r="E226" s="22"/>
      <c r="G226" s="22"/>
      <c r="J226" s="22"/>
      <c r="L226" s="22"/>
      <c r="M226" s="22"/>
      <c r="N226" s="22"/>
      <c r="O226" s="22"/>
      <c r="Q226" s="23"/>
      <c r="R226" s="22"/>
      <c r="T226" s="19" t="str">
        <f t="shared" si="2"/>
        <v/>
      </c>
    </row>
    <row r="227" ht="15.75" customHeight="1">
      <c r="C227" s="19" t="str">
        <f>IF($B227="","",IF($B227&lt;='Ranges - Config'!$B$10,"1-25",IF($B227&lt;='Ranges - Config'!$B$11,"26-75",IF($B227&lt;='Ranges - Config'!$B$12,"76-200","OVER 200 !"))))</f>
        <v/>
      </c>
      <c r="D227" s="22"/>
      <c r="E227" s="22"/>
      <c r="G227" s="22"/>
      <c r="J227" s="22"/>
      <c r="L227" s="22"/>
      <c r="M227" s="22"/>
      <c r="N227" s="22"/>
      <c r="O227" s="22"/>
      <c r="Q227" s="23"/>
      <c r="R227" s="22"/>
      <c r="T227" s="19" t="str">
        <f t="shared" si="2"/>
        <v/>
      </c>
    </row>
    <row r="228" ht="15.75" customHeight="1">
      <c r="C228" s="19" t="str">
        <f>IF($B228="","",IF($B228&lt;='Ranges - Config'!$B$10,"1-25",IF($B228&lt;='Ranges - Config'!$B$11,"26-75",IF($B228&lt;='Ranges - Config'!$B$12,"76-200","OVER 200 !"))))</f>
        <v/>
      </c>
      <c r="D228" s="22"/>
      <c r="E228" s="22"/>
      <c r="G228" s="22"/>
      <c r="J228" s="22"/>
      <c r="L228" s="22"/>
      <c r="M228" s="22"/>
      <c r="N228" s="22"/>
      <c r="O228" s="22"/>
      <c r="Q228" s="23"/>
      <c r="R228" s="22"/>
      <c r="T228" s="19" t="str">
        <f t="shared" si="2"/>
        <v/>
      </c>
    </row>
    <row r="229" ht="15.75" customHeight="1">
      <c r="C229" s="19" t="str">
        <f>IF($B229="","",IF($B229&lt;='Ranges - Config'!$B$10,"1-25",IF($B229&lt;='Ranges - Config'!$B$11,"26-75",IF($B229&lt;='Ranges - Config'!$B$12,"76-200","OVER 200 !"))))</f>
        <v/>
      </c>
      <c r="D229" s="22"/>
      <c r="E229" s="22"/>
      <c r="G229" s="22"/>
      <c r="J229" s="22"/>
      <c r="L229" s="22"/>
      <c r="M229" s="22"/>
      <c r="N229" s="22"/>
      <c r="O229" s="22"/>
      <c r="Q229" s="23"/>
      <c r="R229" s="22"/>
      <c r="T229" s="19" t="str">
        <f t="shared" si="2"/>
        <v/>
      </c>
    </row>
    <row r="230" ht="15.75" customHeight="1">
      <c r="C230" s="19" t="str">
        <f>IF($B230="","",IF($B230&lt;='Ranges - Config'!$B$10,"1-25",IF($B230&lt;='Ranges - Config'!$B$11,"26-75",IF($B230&lt;='Ranges - Config'!$B$12,"76-200","OVER 200 !"))))</f>
        <v/>
      </c>
      <c r="D230" s="22"/>
      <c r="E230" s="22"/>
      <c r="G230" s="22"/>
      <c r="J230" s="22"/>
      <c r="L230" s="22"/>
      <c r="M230" s="22"/>
      <c r="N230" s="22"/>
      <c r="O230" s="22"/>
      <c r="Q230" s="23"/>
      <c r="R230" s="22"/>
      <c r="T230" s="19" t="str">
        <f t="shared" si="2"/>
        <v/>
      </c>
    </row>
    <row r="231" ht="15.75" customHeight="1">
      <c r="C231" s="19" t="str">
        <f>IF($B231="","",IF($B231&lt;='Ranges - Config'!$B$10,"1-25",IF($B231&lt;='Ranges - Config'!$B$11,"26-75",IF($B231&lt;='Ranges - Config'!$B$12,"76-200","OVER 200 !"))))</f>
        <v/>
      </c>
      <c r="D231" s="22"/>
      <c r="E231" s="22"/>
      <c r="G231" s="22"/>
      <c r="J231" s="22"/>
      <c r="L231" s="22"/>
      <c r="M231" s="22"/>
      <c r="N231" s="22"/>
      <c r="O231" s="22"/>
      <c r="Q231" s="23"/>
      <c r="R231" s="22"/>
      <c r="T231" s="19" t="str">
        <f t="shared" si="2"/>
        <v/>
      </c>
    </row>
    <row r="232" ht="15.75" customHeight="1">
      <c r="C232" s="19" t="str">
        <f>IF($B232="","",IF($B232&lt;='Ranges - Config'!$B$10,"1-25",IF($B232&lt;='Ranges - Config'!$B$11,"26-75",IF($B232&lt;='Ranges - Config'!$B$12,"76-200","OVER 200 !"))))</f>
        <v/>
      </c>
      <c r="D232" s="22"/>
      <c r="E232" s="22"/>
      <c r="G232" s="22"/>
      <c r="J232" s="22"/>
      <c r="L232" s="22"/>
      <c r="M232" s="22"/>
      <c r="N232" s="22"/>
      <c r="O232" s="22"/>
      <c r="Q232" s="23"/>
      <c r="R232" s="22"/>
      <c r="T232" s="19" t="str">
        <f t="shared" si="2"/>
        <v/>
      </c>
    </row>
    <row r="233" ht="15.75" customHeight="1">
      <c r="C233" s="19" t="str">
        <f>IF($B233="","",IF($B233&lt;='Ranges - Config'!$B$10,"1-25",IF($B233&lt;='Ranges - Config'!$B$11,"26-75",IF($B233&lt;='Ranges - Config'!$B$12,"76-200","OVER 200 !"))))</f>
        <v/>
      </c>
      <c r="D233" s="22"/>
      <c r="E233" s="22"/>
      <c r="G233" s="22"/>
      <c r="J233" s="22"/>
      <c r="L233" s="22"/>
      <c r="M233" s="22"/>
      <c r="N233" s="22"/>
      <c r="O233" s="22"/>
      <c r="Q233" s="23"/>
      <c r="R233" s="22"/>
      <c r="T233" s="19" t="str">
        <f t="shared" si="2"/>
        <v/>
      </c>
    </row>
    <row r="234" ht="15.75" customHeight="1">
      <c r="C234" s="19" t="str">
        <f>IF($B234="","",IF($B234&lt;='Ranges - Config'!$B$10,"1-25",IF($B234&lt;='Ranges - Config'!$B$11,"26-75",IF($B234&lt;='Ranges - Config'!$B$12,"76-200","OVER 200 !"))))</f>
        <v/>
      </c>
      <c r="D234" s="22"/>
      <c r="E234" s="22"/>
      <c r="G234" s="22"/>
      <c r="J234" s="22"/>
      <c r="L234" s="22"/>
      <c r="M234" s="22"/>
      <c r="N234" s="22"/>
      <c r="O234" s="22"/>
      <c r="Q234" s="23"/>
      <c r="R234" s="22"/>
      <c r="T234" s="19" t="str">
        <f t="shared" si="2"/>
        <v/>
      </c>
    </row>
    <row r="235" ht="15.75" customHeight="1">
      <c r="C235" s="19" t="str">
        <f>IF($B235="","",IF($B235&lt;='Ranges - Config'!$B$10,"1-25",IF($B235&lt;='Ranges - Config'!$B$11,"26-75",IF($B235&lt;='Ranges - Config'!$B$12,"76-200","OVER 200 !"))))</f>
        <v/>
      </c>
      <c r="D235" s="22"/>
      <c r="E235" s="22"/>
      <c r="G235" s="22"/>
      <c r="J235" s="22"/>
      <c r="L235" s="22"/>
      <c r="M235" s="22"/>
      <c r="N235" s="22"/>
      <c r="O235" s="22"/>
      <c r="Q235" s="23"/>
      <c r="R235" s="22"/>
      <c r="T235" s="19" t="str">
        <f t="shared" si="2"/>
        <v/>
      </c>
    </row>
    <row r="236" ht="15.75" customHeight="1">
      <c r="C236" s="19" t="str">
        <f>IF($B236="","",IF($B236&lt;='Ranges - Config'!$B$10,"1-25",IF($B236&lt;='Ranges - Config'!$B$11,"26-75",IF($B236&lt;='Ranges - Config'!$B$12,"76-200","OVER 200 !"))))</f>
        <v/>
      </c>
      <c r="D236" s="22"/>
      <c r="E236" s="22"/>
      <c r="G236" s="22"/>
      <c r="J236" s="22"/>
      <c r="L236" s="22"/>
      <c r="M236" s="22"/>
      <c r="N236" s="22"/>
      <c r="O236" s="22"/>
      <c r="Q236" s="23"/>
      <c r="R236" s="22"/>
      <c r="T236" s="19" t="str">
        <f t="shared" si="2"/>
        <v/>
      </c>
    </row>
    <row r="237" ht="15.75" customHeight="1">
      <c r="C237" s="19" t="str">
        <f>IF($B237="","",IF($B237&lt;='Ranges - Config'!$B$10,"1-25",IF($B237&lt;='Ranges - Config'!$B$11,"26-75",IF($B237&lt;='Ranges - Config'!$B$12,"76-200","OVER 200 !"))))</f>
        <v/>
      </c>
      <c r="D237" s="22"/>
      <c r="E237" s="22"/>
      <c r="G237" s="22"/>
      <c r="J237" s="22"/>
      <c r="L237" s="22"/>
      <c r="M237" s="22"/>
      <c r="N237" s="22"/>
      <c r="O237" s="22"/>
      <c r="Q237" s="23"/>
      <c r="R237" s="22"/>
      <c r="T237" s="19" t="str">
        <f t="shared" si="2"/>
        <v/>
      </c>
    </row>
    <row r="238" ht="15.75" customHeight="1">
      <c r="C238" s="19" t="str">
        <f>IF($B238="","",IF($B238&lt;='Ranges - Config'!$B$10,"1-25",IF($B238&lt;='Ranges - Config'!$B$11,"26-75",IF($B238&lt;='Ranges - Config'!$B$12,"76-200","OVER 200 !"))))</f>
        <v/>
      </c>
      <c r="D238" s="22"/>
      <c r="E238" s="22"/>
      <c r="G238" s="22"/>
      <c r="J238" s="22"/>
      <c r="L238" s="22"/>
      <c r="M238" s="22"/>
      <c r="N238" s="22"/>
      <c r="O238" s="22"/>
      <c r="Q238" s="23"/>
      <c r="R238" s="22"/>
      <c r="T238" s="19" t="str">
        <f t="shared" si="2"/>
        <v/>
      </c>
    </row>
    <row r="239" ht="15.75" customHeight="1">
      <c r="C239" s="19" t="str">
        <f>IF($B239="","",IF($B239&lt;='Ranges - Config'!$B$10,"1-25",IF($B239&lt;='Ranges - Config'!$B$11,"26-75",IF($B239&lt;='Ranges - Config'!$B$12,"76-200","OVER 200 !"))))</f>
        <v/>
      </c>
      <c r="D239" s="22"/>
      <c r="E239" s="22"/>
      <c r="G239" s="22"/>
      <c r="J239" s="22"/>
      <c r="L239" s="22"/>
      <c r="M239" s="22"/>
      <c r="N239" s="22"/>
      <c r="O239" s="22"/>
      <c r="Q239" s="23"/>
      <c r="R239" s="22"/>
      <c r="T239" s="19" t="str">
        <f t="shared" si="2"/>
        <v/>
      </c>
    </row>
    <row r="240" ht="15.75" customHeight="1">
      <c r="C240" s="19" t="str">
        <f>IF($B240="","",IF($B240&lt;='Ranges - Config'!$B$10,"1-25",IF($B240&lt;='Ranges - Config'!$B$11,"26-75",IF($B240&lt;='Ranges - Config'!$B$12,"76-200","OVER 200 !"))))</f>
        <v/>
      </c>
      <c r="D240" s="22"/>
      <c r="E240" s="22"/>
      <c r="G240" s="22"/>
      <c r="J240" s="22"/>
      <c r="L240" s="22"/>
      <c r="M240" s="22"/>
      <c r="N240" s="22"/>
      <c r="O240" s="22"/>
      <c r="Q240" s="23"/>
      <c r="R240" s="22"/>
      <c r="T240" s="19" t="str">
        <f t="shared" si="2"/>
        <v/>
      </c>
    </row>
    <row r="241" ht="15.75" customHeight="1">
      <c r="C241" s="19" t="str">
        <f>IF($B241="","",IF($B241&lt;='Ranges - Config'!$B$10,"1-25",IF($B241&lt;='Ranges - Config'!$B$11,"26-75",IF($B241&lt;='Ranges - Config'!$B$12,"76-200","OVER 200 !"))))</f>
        <v/>
      </c>
      <c r="D241" s="22"/>
      <c r="E241" s="22"/>
      <c r="G241" s="22"/>
      <c r="J241" s="22"/>
      <c r="L241" s="22"/>
      <c r="M241" s="22"/>
      <c r="N241" s="22"/>
      <c r="O241" s="22"/>
      <c r="Q241" s="23"/>
      <c r="R241" s="22"/>
      <c r="T241" s="19" t="str">
        <f t="shared" si="2"/>
        <v/>
      </c>
    </row>
    <row r="242" ht="15.75" customHeight="1">
      <c r="C242" s="19" t="str">
        <f>IF($B242="","",IF($B242&lt;='Ranges - Config'!$B$10,"1-25",IF($B242&lt;='Ranges - Config'!$B$11,"26-75",IF($B242&lt;='Ranges - Config'!$B$12,"76-200","OVER 200 !"))))</f>
        <v/>
      </c>
      <c r="D242" s="22"/>
      <c r="E242" s="22"/>
      <c r="G242" s="22"/>
      <c r="J242" s="22"/>
      <c r="L242" s="22"/>
      <c r="M242" s="22"/>
      <c r="N242" s="22"/>
      <c r="O242" s="22"/>
      <c r="Q242" s="23"/>
      <c r="R242" s="22"/>
      <c r="T242" s="19" t="str">
        <f t="shared" si="2"/>
        <v/>
      </c>
    </row>
    <row r="243" ht="15.75" customHeight="1">
      <c r="C243" s="19" t="str">
        <f>IF($B243="","",IF($B243&lt;='Ranges - Config'!$B$10,"1-25",IF($B243&lt;='Ranges - Config'!$B$11,"26-75",IF($B243&lt;='Ranges - Config'!$B$12,"76-200","OVER 200 !"))))</f>
        <v/>
      </c>
      <c r="D243" s="22"/>
      <c r="E243" s="22"/>
      <c r="G243" s="22"/>
      <c r="J243" s="22"/>
      <c r="L243" s="22"/>
      <c r="M243" s="22"/>
      <c r="N243" s="22"/>
      <c r="O243" s="22"/>
      <c r="Q243" s="23"/>
      <c r="R243" s="22"/>
      <c r="T243" s="19" t="str">
        <f t="shared" si="2"/>
        <v/>
      </c>
    </row>
    <row r="244" ht="15.75" customHeight="1">
      <c r="C244" s="19" t="str">
        <f>IF($B244="","",IF($B244&lt;='Ranges - Config'!$B$10,"1-25",IF($B244&lt;='Ranges - Config'!$B$11,"26-75",IF($B244&lt;='Ranges - Config'!$B$12,"76-200","OVER 200 !"))))</f>
        <v/>
      </c>
      <c r="D244" s="22"/>
      <c r="E244" s="22"/>
      <c r="G244" s="22"/>
      <c r="J244" s="22"/>
      <c r="L244" s="22"/>
      <c r="M244" s="22"/>
      <c r="N244" s="22"/>
      <c r="O244" s="22"/>
      <c r="Q244" s="23"/>
      <c r="R244" s="22"/>
      <c r="T244" s="19" t="str">
        <f t="shared" si="2"/>
        <v/>
      </c>
    </row>
    <row r="245" ht="15.75" customHeight="1">
      <c r="C245" s="19" t="str">
        <f>IF($B245="","",IF($B245&lt;='Ranges - Config'!$B$10,"1-25",IF($B245&lt;='Ranges - Config'!$B$11,"26-75",IF($B245&lt;='Ranges - Config'!$B$12,"76-200","OVER 200 !"))))</f>
        <v/>
      </c>
      <c r="D245" s="22"/>
      <c r="E245" s="22"/>
      <c r="G245" s="22"/>
      <c r="J245" s="22"/>
      <c r="L245" s="22"/>
      <c r="M245" s="22"/>
      <c r="N245" s="22"/>
      <c r="O245" s="22"/>
      <c r="Q245" s="23"/>
      <c r="R245" s="22"/>
      <c r="T245" s="19" t="str">
        <f t="shared" si="2"/>
        <v/>
      </c>
    </row>
    <row r="246" ht="15.75" customHeight="1">
      <c r="C246" s="19" t="str">
        <f>IF($B246="","",IF($B246&lt;='Ranges - Config'!$B$10,"1-25",IF($B246&lt;='Ranges - Config'!$B$11,"26-75",IF($B246&lt;='Ranges - Config'!$B$12,"76-200","OVER 200 !"))))</f>
        <v/>
      </c>
      <c r="D246" s="22"/>
      <c r="E246" s="22"/>
      <c r="G246" s="22"/>
      <c r="J246" s="22"/>
      <c r="L246" s="22"/>
      <c r="M246" s="22"/>
      <c r="N246" s="22"/>
      <c r="O246" s="22"/>
      <c r="Q246" s="23"/>
      <c r="R246" s="22"/>
      <c r="T246" s="19" t="str">
        <f t="shared" si="2"/>
        <v/>
      </c>
    </row>
    <row r="247" ht="15.75" customHeight="1">
      <c r="C247" s="19" t="str">
        <f>IF($B247="","",IF($B247&lt;='Ranges - Config'!$B$10,"1-25",IF($B247&lt;='Ranges - Config'!$B$11,"26-75",IF($B247&lt;='Ranges - Config'!$B$12,"76-200","OVER 200 !"))))</f>
        <v/>
      </c>
      <c r="D247" s="22"/>
      <c r="E247" s="22"/>
      <c r="G247" s="22"/>
      <c r="J247" s="22"/>
      <c r="L247" s="22"/>
      <c r="M247" s="22"/>
      <c r="N247" s="22"/>
      <c r="O247" s="22"/>
      <c r="Q247" s="23"/>
      <c r="R247" s="22"/>
      <c r="T247" s="19" t="str">
        <f t="shared" si="2"/>
        <v/>
      </c>
    </row>
    <row r="248" ht="15.75" customHeight="1">
      <c r="C248" s="19" t="str">
        <f>IF($B248="","",IF($B248&lt;='Ranges - Config'!$B$10,"1-25",IF($B248&lt;='Ranges - Config'!$B$11,"26-75",IF($B248&lt;='Ranges - Config'!$B$12,"76-200","OVER 200 !"))))</f>
        <v/>
      </c>
      <c r="D248" s="22"/>
      <c r="E248" s="22"/>
      <c r="G248" s="22"/>
      <c r="J248" s="22"/>
      <c r="L248" s="22"/>
      <c r="M248" s="22"/>
      <c r="N248" s="22"/>
      <c r="O248" s="22"/>
      <c r="Q248" s="23"/>
      <c r="R248" s="22"/>
      <c r="T248" s="19" t="str">
        <f t="shared" si="2"/>
        <v/>
      </c>
    </row>
    <row r="249" ht="15.75" customHeight="1">
      <c r="C249" s="19" t="str">
        <f>IF($B249="","",IF($B249&lt;='Ranges - Config'!$B$10,"1-25",IF($B249&lt;='Ranges - Config'!$B$11,"26-75",IF($B249&lt;='Ranges - Config'!$B$12,"76-200","OVER 200 !"))))</f>
        <v/>
      </c>
      <c r="D249" s="22"/>
      <c r="E249" s="22"/>
      <c r="G249" s="22"/>
      <c r="J249" s="22"/>
      <c r="L249" s="22"/>
      <c r="M249" s="22"/>
      <c r="N249" s="22"/>
      <c r="O249" s="22"/>
      <c r="Q249" s="23"/>
      <c r="R249" s="22"/>
      <c r="T249" s="19" t="str">
        <f t="shared" si="2"/>
        <v/>
      </c>
    </row>
    <row r="250" ht="15.75" customHeight="1">
      <c r="C250" s="19" t="str">
        <f>IF($B250="","",IF($B250&lt;='Ranges - Config'!$B$10,"1-25",IF($B250&lt;='Ranges - Config'!$B$11,"26-75",IF($B250&lt;='Ranges - Config'!$B$12,"76-200","OVER 200 !"))))</f>
        <v/>
      </c>
      <c r="D250" s="22"/>
      <c r="E250" s="22"/>
      <c r="G250" s="22"/>
      <c r="J250" s="22"/>
      <c r="L250" s="22"/>
      <c r="M250" s="22"/>
      <c r="N250" s="22"/>
      <c r="O250" s="22"/>
      <c r="Q250" s="23"/>
      <c r="R250" s="22"/>
      <c r="T250" s="19" t="str">
        <f t="shared" si="2"/>
        <v/>
      </c>
    </row>
    <row r="251" ht="15.75" customHeight="1">
      <c r="C251" s="19" t="str">
        <f>IF($B251="","",IF($B251&lt;='Ranges - Config'!$B$10,"1-25",IF($B251&lt;='Ranges - Config'!$B$11,"26-75",IF($B251&lt;='Ranges - Config'!$B$12,"76-200","OVER 200 !"))))</f>
        <v/>
      </c>
      <c r="D251" s="22"/>
      <c r="E251" s="22"/>
      <c r="G251" s="22"/>
      <c r="J251" s="22"/>
      <c r="L251" s="22"/>
      <c r="M251" s="22"/>
      <c r="N251" s="22"/>
      <c r="O251" s="22"/>
      <c r="Q251" s="23"/>
      <c r="R251" s="22"/>
      <c r="T251" s="19" t="str">
        <f t="shared" si="2"/>
        <v/>
      </c>
    </row>
    <row r="252" ht="15.75" customHeight="1">
      <c r="C252" s="19" t="str">
        <f>IF($B252="","",IF($B252&lt;='Ranges - Config'!$B$10,"1-25",IF($B252&lt;='Ranges - Config'!$B$11,"26-75",IF($B252&lt;='Ranges - Config'!$B$12,"76-200","OVER 200 !"))))</f>
        <v/>
      </c>
      <c r="D252" s="22"/>
      <c r="E252" s="22"/>
      <c r="G252" s="22"/>
      <c r="J252" s="22"/>
      <c r="L252" s="22"/>
      <c r="M252" s="22"/>
      <c r="N252" s="22"/>
      <c r="O252" s="22"/>
      <c r="Q252" s="23"/>
      <c r="R252" s="22"/>
      <c r="T252" s="19" t="str">
        <f t="shared" si="2"/>
        <v/>
      </c>
    </row>
    <row r="253" ht="15.75" customHeight="1">
      <c r="C253" s="19" t="str">
        <f>IF($B253="","",IF($B253&lt;='Ranges - Config'!$B$10,"1-25",IF($B253&lt;='Ranges - Config'!$B$11,"26-75",IF($B253&lt;='Ranges - Config'!$B$12,"76-200","OVER 200 !"))))</f>
        <v/>
      </c>
      <c r="D253" s="22"/>
      <c r="E253" s="22"/>
      <c r="G253" s="22"/>
      <c r="J253" s="22"/>
      <c r="L253" s="22"/>
      <c r="M253" s="22"/>
      <c r="N253" s="22"/>
      <c r="O253" s="22"/>
      <c r="Q253" s="23"/>
      <c r="R253" s="22"/>
      <c r="T253" s="19" t="str">
        <f t="shared" si="2"/>
        <v/>
      </c>
    </row>
    <row r="254" ht="15.75" customHeight="1">
      <c r="C254" s="19" t="str">
        <f>IF($B254="","",IF($B254&lt;='Ranges - Config'!$B$10,"1-25",IF($B254&lt;='Ranges - Config'!$B$11,"26-75",IF($B254&lt;='Ranges - Config'!$B$12,"76-200","OVER 200 !"))))</f>
        <v/>
      </c>
      <c r="D254" s="22"/>
      <c r="E254" s="22"/>
      <c r="G254" s="22"/>
      <c r="J254" s="22"/>
      <c r="L254" s="22"/>
      <c r="M254" s="22"/>
      <c r="N254" s="22"/>
      <c r="O254" s="22"/>
      <c r="Q254" s="23"/>
      <c r="R254" s="22"/>
      <c r="T254" s="19" t="str">
        <f t="shared" si="2"/>
        <v/>
      </c>
    </row>
    <row r="255" ht="15.75" customHeight="1">
      <c r="C255" s="19" t="str">
        <f>IF($B255="","",IF($B255&lt;='Ranges - Config'!$B$10,"1-25",IF($B255&lt;='Ranges - Config'!$B$11,"26-75",IF($B255&lt;='Ranges - Config'!$B$12,"76-200","OVER 200 !"))))</f>
        <v/>
      </c>
      <c r="D255" s="22"/>
      <c r="E255" s="22"/>
      <c r="G255" s="22"/>
      <c r="J255" s="22"/>
      <c r="L255" s="22"/>
      <c r="M255" s="22"/>
      <c r="N255" s="22"/>
      <c r="O255" s="22"/>
      <c r="Q255" s="23"/>
      <c r="R255" s="22"/>
      <c r="T255" s="19" t="str">
        <f t="shared" si="2"/>
        <v/>
      </c>
    </row>
    <row r="256" ht="15.75" customHeight="1">
      <c r="C256" s="19" t="str">
        <f>IF($B256="","",IF($B256&lt;='Ranges - Config'!$B$10,"1-25",IF($B256&lt;='Ranges - Config'!$B$11,"26-75",IF($B256&lt;='Ranges - Config'!$B$12,"76-200","OVER 200 !"))))</f>
        <v/>
      </c>
      <c r="D256" s="22"/>
      <c r="E256" s="22"/>
      <c r="G256" s="22"/>
      <c r="J256" s="22"/>
      <c r="L256" s="22"/>
      <c r="M256" s="22"/>
      <c r="N256" s="22"/>
      <c r="O256" s="22"/>
      <c r="Q256" s="23"/>
      <c r="R256" s="22"/>
      <c r="T256" s="19" t="str">
        <f t="shared" si="2"/>
        <v/>
      </c>
    </row>
    <row r="257" ht="15.75" customHeight="1">
      <c r="C257" s="19" t="str">
        <f>IF($B257="","",IF($B257&lt;='Ranges - Config'!$B$10,"1-25",IF($B257&lt;='Ranges - Config'!$B$11,"26-75",IF($B257&lt;='Ranges - Config'!$B$12,"76-200","OVER 200 !"))))</f>
        <v/>
      </c>
      <c r="D257" s="22"/>
      <c r="E257" s="22"/>
      <c r="G257" s="22"/>
      <c r="J257" s="22"/>
      <c r="L257" s="22"/>
      <c r="M257" s="22"/>
      <c r="N257" s="22"/>
      <c r="O257" s="22"/>
      <c r="Q257" s="23"/>
      <c r="R257" s="22"/>
      <c r="T257" s="19" t="str">
        <f t="shared" si="2"/>
        <v/>
      </c>
    </row>
    <row r="258" ht="15.75" customHeight="1">
      <c r="C258" s="19" t="str">
        <f>IF($B258="","",IF($B258&lt;='Ranges - Config'!$B$10,"1-25",IF($B258&lt;='Ranges - Config'!$B$11,"26-75",IF($B258&lt;='Ranges - Config'!$B$12,"76-200","OVER 200 !"))))</f>
        <v/>
      </c>
      <c r="D258" s="22"/>
      <c r="E258" s="22"/>
      <c r="G258" s="22"/>
      <c r="J258" s="22"/>
      <c r="L258" s="22"/>
      <c r="M258" s="22"/>
      <c r="N258" s="22"/>
      <c r="O258" s="22"/>
      <c r="Q258" s="23"/>
      <c r="R258" s="22"/>
      <c r="T258" s="19" t="str">
        <f t="shared" si="2"/>
        <v/>
      </c>
    </row>
    <row r="259" ht="15.75" customHeight="1">
      <c r="C259" s="19" t="str">
        <f>IF($B259="","",IF($B259&lt;='Ranges - Config'!$B$10,"1-25",IF($B259&lt;='Ranges - Config'!$B$11,"26-75",IF($B259&lt;='Ranges - Config'!$B$12,"76-200","OVER 200 !"))))</f>
        <v/>
      </c>
      <c r="D259" s="22"/>
      <c r="E259" s="22"/>
      <c r="G259" s="22"/>
      <c r="J259" s="22"/>
      <c r="L259" s="22"/>
      <c r="M259" s="22"/>
      <c r="N259" s="22"/>
      <c r="O259" s="22"/>
      <c r="Q259" s="23"/>
      <c r="R259" s="22"/>
      <c r="T259" s="19" t="str">
        <f t="shared" si="2"/>
        <v/>
      </c>
    </row>
    <row r="260" ht="15.75" customHeight="1">
      <c r="C260" s="19" t="str">
        <f>IF($B260="","",IF($B260&lt;='Ranges - Config'!$B$10,"1-25",IF($B260&lt;='Ranges - Config'!$B$11,"26-75",IF($B260&lt;='Ranges - Config'!$B$12,"76-200","OVER 200 !"))))</f>
        <v/>
      </c>
      <c r="D260" s="22"/>
      <c r="E260" s="22"/>
      <c r="G260" s="22"/>
      <c r="J260" s="22"/>
      <c r="L260" s="22"/>
      <c r="M260" s="22"/>
      <c r="N260" s="22"/>
      <c r="O260" s="22"/>
      <c r="Q260" s="23"/>
      <c r="R260" s="22"/>
      <c r="T260" s="19" t="str">
        <f t="shared" si="2"/>
        <v/>
      </c>
    </row>
    <row r="261" ht="15.75" customHeight="1">
      <c r="C261" s="19" t="str">
        <f>IF($B261="","",IF($B261&lt;='Ranges - Config'!$B$10,"1-25",IF($B261&lt;='Ranges - Config'!$B$11,"26-75",IF($B261&lt;='Ranges - Config'!$B$12,"76-200","OVER 200 !"))))</f>
        <v/>
      </c>
      <c r="D261" s="22"/>
      <c r="E261" s="22"/>
      <c r="G261" s="22"/>
      <c r="J261" s="22"/>
      <c r="L261" s="22"/>
      <c r="M261" s="22"/>
      <c r="N261" s="22"/>
      <c r="O261" s="22"/>
      <c r="Q261" s="23"/>
      <c r="R261" s="22"/>
      <c r="T261" s="19" t="str">
        <f t="shared" si="2"/>
        <v/>
      </c>
    </row>
    <row r="262" ht="15.75" customHeight="1">
      <c r="C262" s="19" t="str">
        <f>IF($B262="","",IF($B262&lt;='Ranges - Config'!$B$10,"1-25",IF($B262&lt;='Ranges - Config'!$B$11,"26-75",IF($B262&lt;='Ranges - Config'!$B$12,"76-200","OVER 200 !"))))</f>
        <v/>
      </c>
      <c r="D262" s="22"/>
      <c r="E262" s="22"/>
      <c r="G262" s="22"/>
      <c r="J262" s="22"/>
      <c r="L262" s="22"/>
      <c r="M262" s="22"/>
      <c r="N262" s="22"/>
      <c r="O262" s="22"/>
      <c r="Q262" s="23"/>
      <c r="R262" s="22"/>
      <c r="T262" s="19" t="str">
        <f t="shared" si="2"/>
        <v/>
      </c>
    </row>
    <row r="263" ht="15.75" customHeight="1">
      <c r="C263" s="19" t="str">
        <f>IF($B263="","",IF($B263&lt;='Ranges - Config'!$B$10,"1-25",IF($B263&lt;='Ranges - Config'!$B$11,"26-75",IF($B263&lt;='Ranges - Config'!$B$12,"76-200","OVER 200 !"))))</f>
        <v/>
      </c>
      <c r="D263" s="22"/>
      <c r="E263" s="22"/>
      <c r="G263" s="22"/>
      <c r="J263" s="22"/>
      <c r="L263" s="22"/>
      <c r="M263" s="22"/>
      <c r="N263" s="22"/>
      <c r="O263" s="22"/>
      <c r="Q263" s="23"/>
      <c r="R263" s="22"/>
      <c r="T263" s="19" t="str">
        <f t="shared" si="2"/>
        <v/>
      </c>
    </row>
    <row r="264" ht="15.75" customHeight="1">
      <c r="C264" s="19" t="str">
        <f>IF($B264="","",IF($B264&lt;='Ranges - Config'!$B$10,"1-25",IF($B264&lt;='Ranges - Config'!$B$11,"26-75",IF($B264&lt;='Ranges - Config'!$B$12,"76-200","OVER 200 !"))))</f>
        <v/>
      </c>
      <c r="D264" s="22"/>
      <c r="E264" s="22"/>
      <c r="G264" s="22"/>
      <c r="J264" s="22"/>
      <c r="L264" s="22"/>
      <c r="M264" s="22"/>
      <c r="N264" s="22"/>
      <c r="O264" s="22"/>
      <c r="Q264" s="23"/>
      <c r="R264" s="22"/>
      <c r="T264" s="19" t="str">
        <f t="shared" si="2"/>
        <v/>
      </c>
    </row>
    <row r="265" ht="15.75" customHeight="1">
      <c r="C265" s="19" t="str">
        <f>IF($B265="","",IF($B265&lt;='Ranges - Config'!$B$10,"1-25",IF($B265&lt;='Ranges - Config'!$B$11,"26-75",IF($B265&lt;='Ranges - Config'!$B$12,"76-200","OVER 200 !"))))</f>
        <v/>
      </c>
      <c r="D265" s="22"/>
      <c r="E265" s="22"/>
      <c r="G265" s="22"/>
      <c r="J265" s="22"/>
      <c r="L265" s="22"/>
      <c r="M265" s="22"/>
      <c r="N265" s="22"/>
      <c r="O265" s="22"/>
      <c r="Q265" s="23"/>
      <c r="R265" s="22"/>
      <c r="T265" s="19" t="str">
        <f t="shared" si="2"/>
        <v/>
      </c>
    </row>
    <row r="266" ht="15.75" customHeight="1">
      <c r="C266" s="19" t="str">
        <f>IF($B266="","",IF($B266&lt;='Ranges - Config'!$B$10,"1-25",IF($B266&lt;='Ranges - Config'!$B$11,"26-75",IF($B266&lt;='Ranges - Config'!$B$12,"76-200","OVER 200 !"))))</f>
        <v/>
      </c>
      <c r="D266" s="22"/>
      <c r="E266" s="22"/>
      <c r="G266" s="22"/>
      <c r="J266" s="22"/>
      <c r="L266" s="22"/>
      <c r="M266" s="22"/>
      <c r="N266" s="22"/>
      <c r="O266" s="22"/>
      <c r="Q266" s="23"/>
      <c r="R266" s="22"/>
      <c r="T266" s="19" t="str">
        <f t="shared" si="2"/>
        <v/>
      </c>
    </row>
    <row r="267" ht="15.75" customHeight="1">
      <c r="C267" s="19" t="str">
        <f>IF($B267="","",IF($B267&lt;='Ranges - Config'!$B$10,"1-25",IF($B267&lt;='Ranges - Config'!$B$11,"26-75",IF($B267&lt;='Ranges - Config'!$B$12,"76-200","OVER 200 !"))))</f>
        <v/>
      </c>
      <c r="D267" s="22"/>
      <c r="E267" s="22"/>
      <c r="G267" s="22"/>
      <c r="J267" s="22"/>
      <c r="L267" s="22"/>
      <c r="M267" s="22"/>
      <c r="N267" s="22"/>
      <c r="O267" s="22"/>
      <c r="Q267" s="23"/>
      <c r="R267" s="22"/>
      <c r="T267" s="19" t="str">
        <f t="shared" si="2"/>
        <v/>
      </c>
    </row>
    <row r="268" ht="15.75" customHeight="1">
      <c r="C268" s="19" t="str">
        <f>IF($B268="","",IF($B268&lt;='Ranges - Config'!$B$10,"1-25",IF($B268&lt;='Ranges - Config'!$B$11,"26-75",IF($B268&lt;='Ranges - Config'!$B$12,"76-200","OVER 200 !"))))</f>
        <v/>
      </c>
      <c r="D268" s="22"/>
      <c r="E268" s="22"/>
      <c r="G268" s="22"/>
      <c r="J268" s="22"/>
      <c r="L268" s="22"/>
      <c r="M268" s="22"/>
      <c r="N268" s="22"/>
      <c r="O268" s="22"/>
      <c r="Q268" s="23"/>
      <c r="R268" s="22"/>
      <c r="T268" s="19" t="str">
        <f t="shared" si="2"/>
        <v/>
      </c>
    </row>
    <row r="269" ht="15.75" customHeight="1">
      <c r="C269" s="19" t="str">
        <f>IF($B269="","",IF($B269&lt;='Ranges - Config'!$B$10,"1-25",IF($B269&lt;='Ranges - Config'!$B$11,"26-75",IF($B269&lt;='Ranges - Config'!$B$12,"76-200","OVER 200 !"))))</f>
        <v/>
      </c>
      <c r="D269" s="22"/>
      <c r="E269" s="22"/>
      <c r="G269" s="22"/>
      <c r="J269" s="22"/>
      <c r="L269" s="22"/>
      <c r="M269" s="22"/>
      <c r="N269" s="22"/>
      <c r="O269" s="22"/>
      <c r="Q269" s="23"/>
      <c r="R269" s="22"/>
      <c r="T269" s="19" t="str">
        <f t="shared" si="2"/>
        <v/>
      </c>
    </row>
    <row r="270" ht="15.75" customHeight="1">
      <c r="C270" s="19" t="str">
        <f>IF($B270="","",IF($B270&lt;='Ranges - Config'!$B$10,"1-25",IF($B270&lt;='Ranges - Config'!$B$11,"26-75",IF($B270&lt;='Ranges - Config'!$B$12,"76-200","OVER 200 !"))))</f>
        <v/>
      </c>
      <c r="D270" s="22"/>
      <c r="E270" s="22"/>
      <c r="G270" s="22"/>
      <c r="J270" s="22"/>
      <c r="L270" s="22"/>
      <c r="M270" s="22"/>
      <c r="N270" s="22"/>
      <c r="O270" s="22"/>
      <c r="Q270" s="23"/>
      <c r="R270" s="22"/>
      <c r="T270" s="19" t="str">
        <f t="shared" si="2"/>
        <v/>
      </c>
    </row>
    <row r="271" ht="15.75" customHeight="1">
      <c r="C271" s="19" t="str">
        <f>IF($B271="","",IF($B271&lt;='Ranges - Config'!$B$10,"1-25",IF($B271&lt;='Ranges - Config'!$B$11,"26-75",IF($B271&lt;='Ranges - Config'!$B$12,"76-200","OVER 200 !"))))</f>
        <v/>
      </c>
      <c r="D271" s="22"/>
      <c r="E271" s="22"/>
      <c r="G271" s="22"/>
      <c r="J271" s="22"/>
      <c r="L271" s="22"/>
      <c r="M271" s="22"/>
      <c r="N271" s="22"/>
      <c r="O271" s="22"/>
      <c r="Q271" s="23"/>
      <c r="R271" s="22"/>
      <c r="T271" s="19" t="str">
        <f t="shared" si="2"/>
        <v/>
      </c>
    </row>
    <row r="272" ht="15.75" customHeight="1">
      <c r="C272" s="19" t="str">
        <f>IF($B272="","",IF($B272&lt;='Ranges - Config'!$B$10,"1-25",IF($B272&lt;='Ranges - Config'!$B$11,"26-75",IF($B272&lt;='Ranges - Config'!$B$12,"76-200","OVER 200 !"))))</f>
        <v/>
      </c>
      <c r="D272" s="22"/>
      <c r="E272" s="22"/>
      <c r="G272" s="22"/>
      <c r="J272" s="22"/>
      <c r="L272" s="22"/>
      <c r="M272" s="22"/>
      <c r="N272" s="22"/>
      <c r="O272" s="22"/>
      <c r="Q272" s="23"/>
      <c r="R272" s="22"/>
      <c r="T272" s="19" t="str">
        <f t="shared" si="2"/>
        <v/>
      </c>
    </row>
    <row r="273" ht="15.75" customHeight="1">
      <c r="C273" s="19" t="str">
        <f>IF($B273="","",IF($B273&lt;='Ranges - Config'!$B$10,"1-25",IF($B273&lt;='Ranges - Config'!$B$11,"26-75",IF($B273&lt;='Ranges - Config'!$B$12,"76-200","OVER 200 !"))))</f>
        <v/>
      </c>
      <c r="D273" s="22"/>
      <c r="E273" s="22"/>
      <c r="G273" s="22"/>
      <c r="J273" s="22"/>
      <c r="L273" s="22"/>
      <c r="M273" s="22"/>
      <c r="N273" s="22"/>
      <c r="O273" s="22"/>
      <c r="Q273" s="23"/>
      <c r="R273" s="22"/>
      <c r="T273" s="19" t="str">
        <f t="shared" si="2"/>
        <v/>
      </c>
    </row>
    <row r="274" ht="15.75" customHeight="1">
      <c r="C274" s="19" t="str">
        <f>IF($B274="","",IF($B274&lt;='Ranges - Config'!$B$10,"1-25",IF($B274&lt;='Ranges - Config'!$B$11,"26-75",IF($B274&lt;='Ranges - Config'!$B$12,"76-200","OVER 200 !"))))</f>
        <v/>
      </c>
      <c r="D274" s="22"/>
      <c r="E274" s="22"/>
      <c r="G274" s="22"/>
      <c r="J274" s="22"/>
      <c r="L274" s="22"/>
      <c r="M274" s="22"/>
      <c r="N274" s="22"/>
      <c r="O274" s="22"/>
      <c r="Q274" s="23"/>
      <c r="R274" s="22"/>
      <c r="T274" s="19" t="str">
        <f t="shared" si="2"/>
        <v/>
      </c>
    </row>
    <row r="275" ht="15.75" customHeight="1">
      <c r="C275" s="19" t="str">
        <f>IF($B275="","",IF($B275&lt;='Ranges - Config'!$B$10,"1-25",IF($B275&lt;='Ranges - Config'!$B$11,"26-75",IF($B275&lt;='Ranges - Config'!$B$12,"76-200","OVER 200 !"))))</f>
        <v/>
      </c>
      <c r="D275" s="22"/>
      <c r="E275" s="22"/>
      <c r="G275" s="22"/>
      <c r="J275" s="22"/>
      <c r="L275" s="22"/>
      <c r="M275" s="22"/>
      <c r="N275" s="22"/>
      <c r="O275" s="22"/>
      <c r="Q275" s="23"/>
      <c r="R275" s="22"/>
      <c r="T275" s="19" t="str">
        <f t="shared" si="2"/>
        <v/>
      </c>
    </row>
    <row r="276" ht="15.75" customHeight="1">
      <c r="C276" s="19" t="str">
        <f>IF($B276="","",IF($B276&lt;='Ranges - Config'!$B$10,"1-25",IF($B276&lt;='Ranges - Config'!$B$11,"26-75",IF($B276&lt;='Ranges - Config'!$B$12,"76-200","OVER 200 !"))))</f>
        <v/>
      </c>
      <c r="D276" s="22"/>
      <c r="E276" s="22"/>
      <c r="G276" s="22"/>
      <c r="J276" s="22"/>
      <c r="L276" s="22"/>
      <c r="M276" s="22"/>
      <c r="N276" s="22"/>
      <c r="O276" s="22"/>
      <c r="Q276" s="23"/>
      <c r="R276" s="22"/>
      <c r="T276" s="19" t="str">
        <f t="shared" si="2"/>
        <v/>
      </c>
    </row>
    <row r="277" ht="15.75" customHeight="1">
      <c r="C277" s="19" t="str">
        <f>IF($B277="","",IF($B277&lt;='Ranges - Config'!$B$10,"1-25",IF($B277&lt;='Ranges - Config'!$B$11,"26-75",IF($B277&lt;='Ranges - Config'!$B$12,"76-200","OVER 200 !"))))</f>
        <v/>
      </c>
      <c r="D277" s="22"/>
      <c r="E277" s="22"/>
      <c r="G277" s="22"/>
      <c r="J277" s="22"/>
      <c r="L277" s="22"/>
      <c r="M277" s="22"/>
      <c r="N277" s="22"/>
      <c r="O277" s="22"/>
      <c r="Q277" s="23"/>
      <c r="R277" s="22"/>
      <c r="T277" s="19" t="str">
        <f t="shared" si="2"/>
        <v/>
      </c>
    </row>
    <row r="278" ht="15.75" customHeight="1">
      <c r="C278" s="19" t="str">
        <f>IF($B278="","",IF($B278&lt;='Ranges - Config'!$B$10,"1-25",IF($B278&lt;='Ranges - Config'!$B$11,"26-75",IF($B278&lt;='Ranges - Config'!$B$12,"76-200","OVER 200 !"))))</f>
        <v/>
      </c>
      <c r="D278" s="22"/>
      <c r="E278" s="22"/>
      <c r="G278" s="22"/>
      <c r="J278" s="22"/>
      <c r="L278" s="22"/>
      <c r="M278" s="22"/>
      <c r="N278" s="22"/>
      <c r="O278" s="22"/>
      <c r="Q278" s="23"/>
      <c r="R278" s="22"/>
      <c r="T278" s="19" t="str">
        <f t="shared" si="2"/>
        <v/>
      </c>
    </row>
    <row r="279" ht="15.75" customHeight="1">
      <c r="C279" s="19" t="str">
        <f>IF($B279="","",IF($B279&lt;='Ranges - Config'!$B$10,"1-25",IF($B279&lt;='Ranges - Config'!$B$11,"26-75",IF($B279&lt;='Ranges - Config'!$B$12,"76-200","OVER 200 !"))))</f>
        <v/>
      </c>
      <c r="D279" s="22"/>
      <c r="E279" s="22"/>
      <c r="G279" s="22"/>
      <c r="J279" s="22"/>
      <c r="L279" s="22"/>
      <c r="M279" s="22"/>
      <c r="N279" s="22"/>
      <c r="O279" s="22"/>
      <c r="Q279" s="23"/>
      <c r="R279" s="22"/>
      <c r="T279" s="19" t="str">
        <f t="shared" si="2"/>
        <v/>
      </c>
    </row>
    <row r="280" ht="15.75" customHeight="1">
      <c r="C280" s="19" t="str">
        <f>IF($B280="","",IF($B280&lt;='Ranges - Config'!$B$10,"1-25",IF($B280&lt;='Ranges - Config'!$B$11,"26-75",IF($B280&lt;='Ranges - Config'!$B$12,"76-200","OVER 200 !"))))</f>
        <v/>
      </c>
      <c r="D280" s="22"/>
      <c r="E280" s="22"/>
      <c r="G280" s="22"/>
      <c r="J280" s="22"/>
      <c r="L280" s="22"/>
      <c r="M280" s="22"/>
      <c r="N280" s="22"/>
      <c r="O280" s="22"/>
      <c r="Q280" s="23"/>
      <c r="R280" s="22"/>
      <c r="T280" s="19" t="str">
        <f t="shared" si="2"/>
        <v/>
      </c>
    </row>
    <row r="281" ht="15.75" customHeight="1">
      <c r="C281" s="19" t="str">
        <f>IF($B281="","",IF($B281&lt;='Ranges - Config'!$B$10,"1-25",IF($B281&lt;='Ranges - Config'!$B$11,"26-75",IF($B281&lt;='Ranges - Config'!$B$12,"76-200","OVER 200 !"))))</f>
        <v/>
      </c>
      <c r="D281" s="22"/>
      <c r="E281" s="22"/>
      <c r="G281" s="22"/>
      <c r="J281" s="22"/>
      <c r="L281" s="22"/>
      <c r="M281" s="22"/>
      <c r="N281" s="22"/>
      <c r="O281" s="22"/>
      <c r="Q281" s="23"/>
      <c r="R281" s="22"/>
      <c r="T281" s="19" t="str">
        <f t="shared" si="2"/>
        <v/>
      </c>
    </row>
    <row r="282" ht="15.75" customHeight="1">
      <c r="C282" s="19" t="str">
        <f>IF($B282="","",IF($B282&lt;='Ranges - Config'!$B$10,"1-25",IF($B282&lt;='Ranges - Config'!$B$11,"26-75",IF($B282&lt;='Ranges - Config'!$B$12,"76-200","OVER 200 !"))))</f>
        <v/>
      </c>
      <c r="D282" s="22"/>
      <c r="E282" s="22"/>
      <c r="G282" s="22"/>
      <c r="J282" s="22"/>
      <c r="L282" s="22"/>
      <c r="M282" s="22"/>
      <c r="N282" s="22"/>
      <c r="O282" s="22"/>
      <c r="Q282" s="23"/>
      <c r="R282" s="22"/>
      <c r="T282" s="19" t="str">
        <f t="shared" si="2"/>
        <v/>
      </c>
    </row>
    <row r="283" ht="15.75" customHeight="1">
      <c r="C283" s="19" t="str">
        <f>IF($B283="","",IF($B283&lt;='Ranges - Config'!$B$10,"1-25",IF($B283&lt;='Ranges - Config'!$B$11,"26-75",IF($B283&lt;='Ranges - Config'!$B$12,"76-200","OVER 200 !"))))</f>
        <v/>
      </c>
      <c r="D283" s="22"/>
      <c r="E283" s="22"/>
      <c r="G283" s="22"/>
      <c r="J283" s="22"/>
      <c r="L283" s="22"/>
      <c r="M283" s="22"/>
      <c r="N283" s="22"/>
      <c r="O283" s="22"/>
      <c r="Q283" s="23"/>
      <c r="R283" s="22"/>
      <c r="T283" s="19" t="str">
        <f t="shared" si="2"/>
        <v/>
      </c>
    </row>
    <row r="284" ht="15.75" customHeight="1">
      <c r="C284" s="19" t="str">
        <f>IF($B284="","",IF($B284&lt;='Ranges - Config'!$B$10,"1-25",IF($B284&lt;='Ranges - Config'!$B$11,"26-75",IF($B284&lt;='Ranges - Config'!$B$12,"76-200","OVER 200 !"))))</f>
        <v/>
      </c>
      <c r="D284" s="22"/>
      <c r="E284" s="22"/>
      <c r="G284" s="22"/>
      <c r="J284" s="22"/>
      <c r="L284" s="22"/>
      <c r="M284" s="22"/>
      <c r="N284" s="22"/>
      <c r="O284" s="22"/>
      <c r="Q284" s="23"/>
      <c r="R284" s="22"/>
      <c r="T284" s="19" t="str">
        <f t="shared" si="2"/>
        <v/>
      </c>
    </row>
    <row r="285" ht="15.75" customHeight="1">
      <c r="C285" s="19" t="str">
        <f>IF($B285="","",IF($B285&lt;='Ranges - Config'!$B$10,"1-25",IF($B285&lt;='Ranges - Config'!$B$11,"26-75",IF($B285&lt;='Ranges - Config'!$B$12,"76-200","OVER 200 !"))))</f>
        <v/>
      </c>
      <c r="D285" s="22"/>
      <c r="E285" s="22"/>
      <c r="G285" s="22"/>
      <c r="J285" s="22"/>
      <c r="L285" s="22"/>
      <c r="M285" s="22"/>
      <c r="N285" s="22"/>
      <c r="O285" s="22"/>
      <c r="Q285" s="23"/>
      <c r="R285" s="22"/>
      <c r="T285" s="19" t="str">
        <f t="shared" si="2"/>
        <v/>
      </c>
    </row>
    <row r="286" ht="15.75" customHeight="1">
      <c r="C286" s="19" t="str">
        <f>IF($B286="","",IF($B286&lt;='Ranges - Config'!$B$10,"1-25",IF($B286&lt;='Ranges - Config'!$B$11,"26-75",IF($B286&lt;='Ranges - Config'!$B$12,"76-200","OVER 200 !"))))</f>
        <v/>
      </c>
      <c r="D286" s="22"/>
      <c r="E286" s="22"/>
      <c r="G286" s="22"/>
      <c r="J286" s="22"/>
      <c r="L286" s="22"/>
      <c r="M286" s="22"/>
      <c r="N286" s="22"/>
      <c r="O286" s="22"/>
      <c r="Q286" s="23"/>
      <c r="R286" s="22"/>
      <c r="T286" s="19" t="str">
        <f t="shared" si="2"/>
        <v/>
      </c>
    </row>
    <row r="287" ht="15.75" customHeight="1">
      <c r="C287" s="19" t="str">
        <f>IF($B287="","",IF($B287&lt;='Ranges - Config'!$B$10,"1-25",IF($B287&lt;='Ranges - Config'!$B$11,"26-75",IF($B287&lt;='Ranges - Config'!$B$12,"76-200","OVER 200 !"))))</f>
        <v/>
      </c>
      <c r="D287" s="22"/>
      <c r="E287" s="22"/>
      <c r="G287" s="22"/>
      <c r="J287" s="22"/>
      <c r="L287" s="22"/>
      <c r="M287" s="22"/>
      <c r="N287" s="22"/>
      <c r="O287" s="22"/>
      <c r="Q287" s="23"/>
      <c r="R287" s="22"/>
      <c r="T287" s="19" t="str">
        <f t="shared" si="2"/>
        <v/>
      </c>
    </row>
    <row r="288" ht="15.75" customHeight="1">
      <c r="C288" s="19" t="str">
        <f>IF($B288="","",IF($B288&lt;='Ranges - Config'!$B$10,"1-25",IF($B288&lt;='Ranges - Config'!$B$11,"26-75",IF($B288&lt;='Ranges - Config'!$B$12,"76-200","OVER 200 !"))))</f>
        <v/>
      </c>
      <c r="D288" s="22"/>
      <c r="E288" s="22"/>
      <c r="G288" s="22"/>
      <c r="J288" s="22"/>
      <c r="L288" s="22"/>
      <c r="M288" s="22"/>
      <c r="N288" s="22"/>
      <c r="O288" s="22"/>
      <c r="Q288" s="23"/>
      <c r="R288" s="22"/>
      <c r="T288" s="19" t="str">
        <f t="shared" si="2"/>
        <v/>
      </c>
    </row>
    <row r="289" ht="15.75" customHeight="1">
      <c r="C289" s="19" t="str">
        <f>IF($B289="","",IF($B289&lt;='Ranges - Config'!$B$10,"1-25",IF($B289&lt;='Ranges - Config'!$B$11,"26-75",IF($B289&lt;='Ranges - Config'!$B$12,"76-200","OVER 200 !"))))</f>
        <v/>
      </c>
      <c r="D289" s="22"/>
      <c r="E289" s="22"/>
      <c r="G289" s="22"/>
      <c r="J289" s="22"/>
      <c r="L289" s="22"/>
      <c r="M289" s="22"/>
      <c r="N289" s="22"/>
      <c r="O289" s="22"/>
      <c r="Q289" s="23"/>
      <c r="R289" s="22"/>
      <c r="T289" s="19" t="str">
        <f t="shared" si="2"/>
        <v/>
      </c>
    </row>
    <row r="290" ht="15.75" customHeight="1">
      <c r="C290" s="19" t="str">
        <f>IF($B290="","",IF($B290&lt;='Ranges - Config'!$B$10,"1-25",IF($B290&lt;='Ranges - Config'!$B$11,"26-75",IF($B290&lt;='Ranges - Config'!$B$12,"76-200","OVER 200 !"))))</f>
        <v/>
      </c>
      <c r="D290" s="22"/>
      <c r="E290" s="22"/>
      <c r="G290" s="22"/>
      <c r="J290" s="22"/>
      <c r="L290" s="22"/>
      <c r="M290" s="22"/>
      <c r="N290" s="22"/>
      <c r="O290" s="22"/>
      <c r="Q290" s="23"/>
      <c r="R290" s="22"/>
      <c r="T290" s="19" t="str">
        <f t="shared" si="2"/>
        <v/>
      </c>
    </row>
    <row r="291" ht="15.75" customHeight="1">
      <c r="C291" s="19" t="str">
        <f>IF($B291="","",IF($B291&lt;='Ranges - Config'!$B$10,"1-25",IF($B291&lt;='Ranges - Config'!$B$11,"26-75",IF($B291&lt;='Ranges - Config'!$B$12,"76-200","OVER 200 !"))))</f>
        <v/>
      </c>
      <c r="D291" s="22"/>
      <c r="E291" s="22"/>
      <c r="G291" s="22"/>
      <c r="J291" s="22"/>
      <c r="L291" s="22"/>
      <c r="M291" s="22"/>
      <c r="N291" s="22"/>
      <c r="O291" s="22"/>
      <c r="Q291" s="23"/>
      <c r="R291" s="22"/>
      <c r="T291" s="19" t="str">
        <f t="shared" si="2"/>
        <v/>
      </c>
    </row>
    <row r="292" ht="15.75" customHeight="1">
      <c r="C292" s="19" t="str">
        <f>IF($B292="","",IF($B292&lt;='Ranges - Config'!$B$10,"1-25",IF($B292&lt;='Ranges - Config'!$B$11,"26-75",IF($B292&lt;='Ranges - Config'!$B$12,"76-200","OVER 200 !"))))</f>
        <v/>
      </c>
      <c r="D292" s="22"/>
      <c r="E292" s="22"/>
      <c r="G292" s="22"/>
      <c r="J292" s="22"/>
      <c r="L292" s="22"/>
      <c r="M292" s="22"/>
      <c r="N292" s="22"/>
      <c r="O292" s="22"/>
      <c r="Q292" s="23"/>
      <c r="R292" s="22"/>
      <c r="T292" s="19" t="str">
        <f t="shared" si="2"/>
        <v/>
      </c>
    </row>
    <row r="293" ht="15.75" customHeight="1">
      <c r="C293" s="19" t="str">
        <f>IF($B293="","",IF($B293&lt;='Ranges - Config'!$B$10,"1-25",IF($B293&lt;='Ranges - Config'!$B$11,"26-75",IF($B293&lt;='Ranges - Config'!$B$12,"76-200","OVER 200 !"))))</f>
        <v/>
      </c>
      <c r="D293" s="22"/>
      <c r="E293" s="22"/>
      <c r="G293" s="22"/>
      <c r="J293" s="22"/>
      <c r="L293" s="22"/>
      <c r="M293" s="22"/>
      <c r="N293" s="22"/>
      <c r="O293" s="22"/>
      <c r="Q293" s="23"/>
      <c r="R293" s="22"/>
      <c r="T293" s="19" t="str">
        <f t="shared" si="2"/>
        <v/>
      </c>
    </row>
    <row r="294" ht="15.75" customHeight="1">
      <c r="C294" s="19" t="str">
        <f>IF($B294="","",IF($B294&lt;='Ranges - Config'!$B$10,"1-25",IF($B294&lt;='Ranges - Config'!$B$11,"26-75",IF($B294&lt;='Ranges - Config'!$B$12,"76-200","OVER 200 !"))))</f>
        <v/>
      </c>
      <c r="D294" s="22"/>
      <c r="E294" s="22"/>
      <c r="G294" s="22"/>
      <c r="J294" s="22"/>
      <c r="L294" s="22"/>
      <c r="M294" s="22"/>
      <c r="N294" s="22"/>
      <c r="O294" s="22"/>
      <c r="Q294" s="23"/>
      <c r="R294" s="22"/>
      <c r="T294" s="19" t="str">
        <f t="shared" si="2"/>
        <v/>
      </c>
    </row>
    <row r="295" ht="15.75" customHeight="1">
      <c r="C295" s="19" t="str">
        <f>IF($B295="","",IF($B295&lt;='Ranges - Config'!$B$10,"1-25",IF($B295&lt;='Ranges - Config'!$B$11,"26-75",IF($B295&lt;='Ranges - Config'!$B$12,"76-200","OVER 200 !"))))</f>
        <v/>
      </c>
      <c r="D295" s="22"/>
      <c r="E295" s="22"/>
      <c r="G295" s="22"/>
      <c r="J295" s="22"/>
      <c r="L295" s="22"/>
      <c r="M295" s="22"/>
      <c r="N295" s="22"/>
      <c r="O295" s="22"/>
      <c r="Q295" s="23"/>
      <c r="R295" s="22"/>
      <c r="T295" s="19" t="str">
        <f t="shared" si="2"/>
        <v/>
      </c>
    </row>
    <row r="296" ht="15.75" customHeight="1">
      <c r="C296" s="19" t="str">
        <f>IF($B296="","",IF($B296&lt;='Ranges - Config'!$B$10,"1-25",IF($B296&lt;='Ranges - Config'!$B$11,"26-75",IF($B296&lt;='Ranges - Config'!$B$12,"76-200","OVER 200 !"))))</f>
        <v/>
      </c>
      <c r="D296" s="22"/>
      <c r="E296" s="22"/>
      <c r="G296" s="22"/>
      <c r="J296" s="22"/>
      <c r="L296" s="22"/>
      <c r="M296" s="22"/>
      <c r="N296" s="22"/>
      <c r="O296" s="22"/>
      <c r="Q296" s="23"/>
      <c r="R296" s="22"/>
      <c r="T296" s="19" t="str">
        <f t="shared" si="2"/>
        <v/>
      </c>
    </row>
    <row r="297" ht="15.75" customHeight="1">
      <c r="C297" s="19" t="str">
        <f>IF($B297="","",IF($B297&lt;='Ranges - Config'!$B$10,"1-25",IF($B297&lt;='Ranges - Config'!$B$11,"26-75",IF($B297&lt;='Ranges - Config'!$B$12,"76-200","OVER 200 !"))))</f>
        <v/>
      </c>
      <c r="D297" s="22"/>
      <c r="E297" s="22"/>
      <c r="G297" s="22"/>
      <c r="J297" s="22"/>
      <c r="L297" s="22"/>
      <c r="M297" s="22"/>
      <c r="N297" s="22"/>
      <c r="O297" s="22"/>
      <c r="Q297" s="23"/>
      <c r="R297" s="22"/>
      <c r="T297" s="19" t="str">
        <f t="shared" si="2"/>
        <v/>
      </c>
    </row>
    <row r="298" ht="15.75" customHeight="1">
      <c r="C298" s="19" t="str">
        <f>IF($B298="","",IF($B298&lt;='Ranges - Config'!$B$10,"1-25",IF($B298&lt;='Ranges - Config'!$B$11,"26-75",IF($B298&lt;='Ranges - Config'!$B$12,"76-200","OVER 200 !"))))</f>
        <v/>
      </c>
      <c r="D298" s="22"/>
      <c r="E298" s="22"/>
      <c r="G298" s="22"/>
      <c r="J298" s="22"/>
      <c r="L298" s="22"/>
      <c r="M298" s="22"/>
      <c r="N298" s="22"/>
      <c r="O298" s="22"/>
      <c r="Q298" s="23"/>
      <c r="R298" s="22"/>
      <c r="T298" s="19" t="str">
        <f t="shared" si="2"/>
        <v/>
      </c>
    </row>
    <row r="299" ht="15.75" customHeight="1">
      <c r="C299" s="19" t="str">
        <f>IF($B299="","",IF($B299&lt;='Ranges - Config'!$B$10,"1-25",IF($B299&lt;='Ranges - Config'!$B$11,"26-75",IF($B299&lt;='Ranges - Config'!$B$12,"76-200","OVER 200 !"))))</f>
        <v/>
      </c>
      <c r="D299" s="22"/>
      <c r="E299" s="22"/>
      <c r="G299" s="22"/>
      <c r="J299" s="22"/>
      <c r="L299" s="22"/>
      <c r="M299" s="22"/>
      <c r="N299" s="22"/>
      <c r="O299" s="22"/>
      <c r="Q299" s="23"/>
      <c r="R299" s="22"/>
      <c r="T299" s="19" t="str">
        <f t="shared" si="2"/>
        <v/>
      </c>
    </row>
    <row r="300" ht="15.75" customHeight="1">
      <c r="C300" s="19" t="str">
        <f>IF($B300="","",IF($B300&lt;='Ranges - Config'!$B$10,"1-25",IF($B300&lt;='Ranges - Config'!$B$11,"26-75",IF($B300&lt;='Ranges - Config'!$B$12,"76-200","OVER 200 !"))))</f>
        <v/>
      </c>
      <c r="D300" s="22"/>
      <c r="E300" s="22"/>
      <c r="G300" s="22"/>
      <c r="J300" s="22"/>
      <c r="L300" s="22"/>
      <c r="M300" s="22"/>
      <c r="N300" s="22"/>
      <c r="O300" s="22"/>
      <c r="Q300" s="23"/>
      <c r="R300" s="22"/>
      <c r="T300" s="19" t="str">
        <f t="shared" si="2"/>
        <v/>
      </c>
    </row>
    <row r="301" ht="15.75" customHeight="1">
      <c r="C301" s="19" t="str">
        <f>IF($B301="","",IF($B301&lt;='Ranges - Config'!$B$10,"1-25",IF($B301&lt;='Ranges - Config'!$B$11,"26-75",IF($B301&lt;='Ranges - Config'!$B$12,"76-200","OVER 200 !"))))</f>
        <v/>
      </c>
      <c r="D301" s="22"/>
      <c r="E301" s="22"/>
      <c r="G301" s="22"/>
      <c r="J301" s="22"/>
      <c r="L301" s="22"/>
      <c r="M301" s="22"/>
      <c r="N301" s="22"/>
      <c r="O301" s="22"/>
      <c r="Q301" s="23"/>
      <c r="R301" s="22"/>
      <c r="T301" s="19" t="str">
        <f t="shared" si="2"/>
        <v/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2:P301">
    <cfRule type="expression" dxfId="0" priority="1">
      <formula>AND($A2&lt;&gt;"",$P2="")</formula>
    </cfRule>
  </conditionalFormatting>
  <conditionalFormatting sqref="Q2:Q301">
    <cfRule type="expression" dxfId="1" priority="2">
      <formula>AND($A2&lt;&gt;"",$Q2="")</formula>
    </cfRule>
  </conditionalFormatting>
  <dataValidations>
    <dataValidation type="list" allowBlank="1" showInputMessage="1" showErrorMessage="1" prompt="Invalid entry - Pick a value from the dropdown (lists live on the Config tab)." sqref="O2:O301">
      <formula1>SourceList</formula1>
    </dataValidation>
    <dataValidation type="list" allowBlank="1" showInputMessage="1" showErrorMessage="1" prompt="Invalid entry - Pick a value from the dropdown (lists live on the Config tab)." sqref="N2:N301">
      <formula1>RampList</formula1>
    </dataValidation>
    <dataValidation type="list" allowBlank="1" showInputMessage="1" showErrorMessage="1" prompt="Invalid entry - Pick a value from the dropdown (lists live on the Config tab)." sqref="R2:R301">
      <formula1>ConfList</formula1>
    </dataValidation>
    <dataValidation type="list" allowBlank="1" showInputMessage="1" showErrorMessage="1" prompt="Invalid entry - Pick a value from the dropdown (lists live on the Config tab)." sqref="L2:L301">
      <formula1>EligList</formula1>
    </dataValidation>
    <dataValidation type="list" allowBlank="1" showInputMessage="1" showErrorMessage="1" prompt="Invalid entry - Pick a value from the dropdown (lists live on the Config tab)." sqref="G2:G301">
      <formula1>HCList</formula1>
    </dataValidation>
    <dataValidation type="list" allowBlank="1" showInputMessage="1" showErrorMessage="1" prompt="Invalid entry - Pick a value from the dropdown (lists live on the Config tab)." sqref="J2:J301">
      <formula1>PayList</formula1>
    </dataValidation>
    <dataValidation type="list" allowBlank="1" showInputMessage="1" showErrorMessage="1" prompt="Invalid entry - Pick a value from the dropdown (lists live on the Config tab)." sqref="E2:E301">
      <formula1>IndustryList</formula1>
    </dataValidation>
    <dataValidation type="list" allowBlank="1" showInputMessage="1" showErrorMessage="1" prompt="Invalid entry - Pick a value from the dropdown (lists live on the Config tab)." sqref="M2:M301">
      <formula1>FlexList</formula1>
    </dataValidation>
    <dataValidation type="list" allowBlank="1" showInputMessage="1" showErrorMessage="1" prompt="Invalid entry - Pick a value from the dropdown (lists live on the Config tab)." sqref="D2:D301">
      <formula1>StageList</formula1>
    </dataValidation>
  </dataValidations>
  <hyperlinks>
    <hyperlink r:id="rId1" ref="P3"/>
    <hyperlink r:id="rId2" ref="P4"/>
    <hyperlink r:id="rId3" ref="P5"/>
    <hyperlink r:id="rId4" ref="P6"/>
    <hyperlink r:id="rId5" ref="P7"/>
    <hyperlink r:id="rId6" ref="P8"/>
    <hyperlink r:id="rId7" ref="P9"/>
    <hyperlink r:id="rId8" ref="P10"/>
  </hyperlinks>
  <printOptions/>
  <pageMargins bottom="1.0" footer="0.0" header="0.0" left="0.75" right="0.75" top="1.0"/>
  <pageSetup paperSize="9" orientation="portrait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0.0"/>
    <col customWidth="1" min="3" max="3" width="11.0"/>
    <col customWidth="1" min="4" max="4" width="10.29"/>
    <col customWidth="1" min="5" max="5" width="14.0"/>
    <col customWidth="1" min="6" max="6" width="10.14"/>
    <col customWidth="1" min="7" max="7" width="7.0"/>
    <col customWidth="1" min="8" max="8" width="9.0"/>
    <col customWidth="1" min="9" max="12" width="7.0"/>
    <col customWidth="1" min="13" max="13" width="9.0"/>
    <col customWidth="1" min="14" max="15" width="7.0"/>
    <col customWidth="1" min="16" max="16" width="20.0"/>
    <col customWidth="1" min="17" max="17" width="17.0"/>
    <col customWidth="1" min="18" max="18" width="20.0"/>
    <col customWidth="1" min="19" max="19" width="16.0"/>
    <col customWidth="1" min="20" max="26" width="8.71"/>
  </cols>
  <sheetData>
    <row r="1" ht="30.0" customHeight="1">
      <c r="A1" s="24" t="s">
        <v>325</v>
      </c>
      <c r="B1" s="24" t="s">
        <v>17</v>
      </c>
      <c r="C1" s="24" t="s">
        <v>326</v>
      </c>
      <c r="D1" s="25" t="s">
        <v>327</v>
      </c>
      <c r="E1" s="26" t="s">
        <v>328</v>
      </c>
      <c r="F1" s="27" t="s">
        <v>329</v>
      </c>
      <c r="G1" s="27" t="s">
        <v>330</v>
      </c>
      <c r="H1" s="27" t="s">
        <v>331</v>
      </c>
      <c r="I1" s="27" t="s">
        <v>332</v>
      </c>
      <c r="J1" s="27" t="s">
        <v>333</v>
      </c>
      <c r="K1" s="27" t="s">
        <v>334</v>
      </c>
      <c r="L1" s="27" t="s">
        <v>335</v>
      </c>
      <c r="M1" s="27" t="s">
        <v>336</v>
      </c>
      <c r="N1" s="27" t="s">
        <v>337</v>
      </c>
      <c r="O1" s="27" t="s">
        <v>338</v>
      </c>
      <c r="P1" s="24" t="s">
        <v>339</v>
      </c>
      <c r="Q1" s="24" t="s">
        <v>340</v>
      </c>
      <c r="R1" s="24" t="s">
        <v>341</v>
      </c>
      <c r="S1" s="24" t="s">
        <v>342</v>
      </c>
    </row>
    <row r="2">
      <c r="A2" s="2" t="s">
        <v>343</v>
      </c>
      <c r="B2" s="2" t="s">
        <v>344</v>
      </c>
      <c r="C2" s="2" t="s">
        <v>345</v>
      </c>
      <c r="D2" s="19">
        <f>COUNTIFS(Companies!$T$2:$T$301,$A2,Companies!$H$2:$H$301,"&gt;=0")</f>
        <v>52</v>
      </c>
      <c r="E2" s="28" t="str">
        <f t="shared" ref="E2:E7" si="1">IF($D2=0,"NO DATA",IF($D2&lt;30,"LOW SAMPLE (n&lt;30)",""))</f>
        <v/>
      </c>
      <c r="F2" s="29">
        <f t="array" ref="F2">IFERROR(IF($D2=0,"",MIN(IF((Companies!$T$2:$T$301=$A2)*ISNUMBER(Companies!$H$2:$H$301),Companies!$H$2:$H$301))),"")</f>
        <v>6</v>
      </c>
      <c r="G2" s="29">
        <f t="array" ref="G2">IFERROR(IF($D2=0,"",QUARTILE(IF((Companies!$T$2:$T$301=$A2)*ISNUMBER(Companies!$H$2:$H$301),Companies!$H$2:$H$301),1)),"")</f>
        <v>9</v>
      </c>
      <c r="H2" s="29">
        <f t="array" ref="H2">IFERROR(IF($D2=0,"",MEDIAN(IF((Companies!$T$2:$T$301=$A2)*ISNUMBER(Companies!$H$2:$H$301),Companies!$H$2:$H$301))),"")</f>
        <v>11</v>
      </c>
      <c r="I2" s="29">
        <f t="array" ref="I2">IFERROR(IF($D2=0,"",QUARTILE(IF((Companies!$T$2:$T$301=$A2)*ISNUMBER(Companies!$H$2:$H$301),Companies!$H$2:$H$301),3)),"")</f>
        <v>12.25</v>
      </c>
      <c r="J2" s="29">
        <f t="array" ref="J2">IFERROR(IF($D2=0,"",MAX(IF((Companies!$T$2:$T$301=$A2)*ISNUMBER(Companies!$H$2:$H$301),Companies!$H$2:$H$301))),"")</f>
        <v>14</v>
      </c>
      <c r="K2" s="29">
        <f t="array" ref="K2">IFERROR(IF($D2=0,"",MIN(IF((Companies!$T$2:$T$301=$A2)*ISNUMBER(Companies!$I$2:$I$301),Companies!$I$2:$I$301))),"")</f>
        <v>2</v>
      </c>
      <c r="L2" s="29">
        <f t="array" ref="L2">IFERROR(IF($D2=0,"",QUARTILE(IF((Companies!$T$2:$T$301=$A2)*ISNUMBER(Companies!$I$2:$I$301),Companies!$I$2:$I$301),1)),"")</f>
        <v>3</v>
      </c>
      <c r="M2" s="29">
        <f t="array" ref="M2">IFERROR(IF($D2=0,"",MEDIAN(IF((Companies!$T$2:$T$301=$A2)*ISNUMBER(Companies!$I$2:$I$301),Companies!$I$2:$I$301))),"")</f>
        <v>5</v>
      </c>
      <c r="N2" s="29">
        <f t="array" ref="N2">IFERROR(IF($D2=0,"",QUARTILE(IF((Companies!$T$2:$T$301=$A2)*ISNUMBER(Companies!$I$2:$I$301),Companies!$I$2:$I$301),3)),"")</f>
        <v>7</v>
      </c>
      <c r="O2" s="29">
        <f t="array" ref="O2">IFERROR(IF($D2=0,"",MAX(IF((Companies!$T$2:$T$301=$A2)*ISNUMBER(Companies!$I$2:$I$301),Companies!$I$2:$I$301))),"")</f>
        <v>12</v>
      </c>
      <c r="P2" s="19" t="str">
        <f t="array" ref="P2">IF(MAX(Calc!$B4:$E4)=0,"",INDEX(Calc!$B$3:$E$3,MATCH(MAX(Calc!$B4:$E4),Calc!$B4:$E4,0)))</f>
        <v>100% top-up</v>
      </c>
      <c r="Q2" s="19" t="str">
        <f t="array" ref="Q2">IF(MAX(Calc!$G4:$J4)=0,"",INDEX(Calc!$G$3:$J$3,MATCH(MAX(Calc!$G4:$J4),Calc!$G4:$J4,0)))</f>
        <v>12 months</v>
      </c>
      <c r="R2" s="19" t="str">
        <f t="array" ref="R2">IF(MAX(Calc!$L4:$N4)=0,"",INDEX(Calc!$L$3:$N$3,MATCH(MAX(Calc!$L4:$N4),Calc!$L4:$N4,0)))</f>
        <v>Single block</v>
      </c>
      <c r="S2" s="19" t="str">
        <f t="array" ref="S2">IF(MAX(Calc!$P4:$S4)=0,"",INDEX(Calc!$P$3:$S$3,MATCH(MAX(Calc!$P4:$S4),Calc!$P4:$S4,0)))</f>
        <v>None</v>
      </c>
    </row>
    <row r="3">
      <c r="A3" s="2" t="s">
        <v>346</v>
      </c>
      <c r="B3" s="2" t="s">
        <v>344</v>
      </c>
      <c r="C3" s="2" t="s">
        <v>347</v>
      </c>
      <c r="D3" s="19">
        <f>COUNTIFS(Companies!$T$2:$T$301,$A3,Companies!$H$2:$H$301,"&gt;=0")</f>
        <v>21</v>
      </c>
      <c r="E3" s="28" t="str">
        <f t="shared" si="1"/>
        <v>LOW SAMPLE (n&lt;30)</v>
      </c>
      <c r="F3" s="29">
        <f t="array" ref="F3">IFERROR(IF($D3=0,"",MIN(IF((Companies!$T$2:$T$301=$A3)*ISNUMBER(Companies!$H$2:$H$301),Companies!$H$2:$H$301))),"")</f>
        <v>6</v>
      </c>
      <c r="G3" s="29">
        <f t="array" ref="G3">IFERROR(IF($D3=0,"",QUARTILE(IF((Companies!$T$2:$T$301=$A3)*ISNUMBER(Companies!$H$2:$H$301),Companies!$H$2:$H$301),1)),"")</f>
        <v>8</v>
      </c>
      <c r="H3" s="29">
        <f t="array" ref="H3">IFERROR(IF($D3=0,"",MEDIAN(IF((Companies!$T$2:$T$301=$A3)*ISNUMBER(Companies!$H$2:$H$301),Companies!$H$2:$H$301))),"")</f>
        <v>10</v>
      </c>
      <c r="I3" s="29">
        <f t="array" ref="I3">IFERROR(IF($D3=0,"",QUARTILE(IF((Companies!$T$2:$T$301=$A3)*ISNUMBER(Companies!$H$2:$H$301),Companies!$H$2:$H$301),3)),"")</f>
        <v>13</v>
      </c>
      <c r="J3" s="29">
        <f t="array" ref="J3">IFERROR(IF($D3=0,"",MAX(IF((Companies!$T$2:$T$301=$A3)*ISNUMBER(Companies!$H$2:$H$301),Companies!$H$2:$H$301))),"")</f>
        <v>14</v>
      </c>
      <c r="K3" s="29">
        <f t="array" ref="K3">IFERROR(IF($D3=0,"",MIN(IF((Companies!$T$2:$T$301=$A3)*ISNUMBER(Companies!$I$2:$I$301),Companies!$I$2:$I$301))),"")</f>
        <v>2</v>
      </c>
      <c r="L3" s="29">
        <f t="array" ref="L3">IFERROR(IF($D3=0,"",QUARTILE(IF((Companies!$T$2:$T$301=$A3)*ISNUMBER(Companies!$I$2:$I$301),Companies!$I$2:$I$301),1)),"")</f>
        <v>3</v>
      </c>
      <c r="M3" s="29">
        <f t="array" ref="M3">IFERROR(IF($D3=0,"",MEDIAN(IF((Companies!$T$2:$T$301=$A3)*ISNUMBER(Companies!$I$2:$I$301),Companies!$I$2:$I$301))),"")</f>
        <v>4</v>
      </c>
      <c r="N3" s="29">
        <f t="array" ref="N3">IFERROR(IF($D3=0,"",QUARTILE(IF((Companies!$T$2:$T$301=$A3)*ISNUMBER(Companies!$I$2:$I$301),Companies!$I$2:$I$301),3)),"")</f>
        <v>6</v>
      </c>
      <c r="O3" s="29">
        <f t="array" ref="O3">IFERROR(IF($D3=0,"",MAX(IF((Companies!$T$2:$T$301=$A3)*ISNUMBER(Companies!$I$2:$I$301),Companies!$I$2:$I$301))),"")</f>
        <v>8</v>
      </c>
      <c r="P3" s="19" t="str">
        <f t="array" ref="P3">IF(MAX(Calc!$B5:$E5)=0,"",INDEX(Calc!$B$3:$E$3,MATCH(MAX(Calc!$B5:$E5),Calc!$B5:$E5,0)))</f>
        <v>100% top-up</v>
      </c>
      <c r="Q3" s="19" t="str">
        <f t="array" ref="Q3">IF(MAX(Calc!$G5:$J5)=0,"",INDEX(Calc!$G$3:$J$3,MATCH(MAX(Calc!$G5:$J5),Calc!$G5:$J5,0)))</f>
        <v>90 days</v>
      </c>
      <c r="R3" s="19" t="str">
        <f t="array" ref="R3">IF(MAX(Calc!$L5:$N5)=0,"",INDEX(Calc!$L$3:$N$3,MATCH(MAX(Calc!$L5:$N5),Calc!$L5:$N5,0)))</f>
        <v>Flexible chunks / 12 mo</v>
      </c>
      <c r="S3" s="19" t="str">
        <f t="array" ref="S3">IF(MAX(Calc!$P5:$S5)=0,"",INDEX(Calc!$P$3:$S$3,MATCH(MAX(Calc!$P5:$S5),Calc!$P5:$S5,0)))</f>
        <v>1-2 wks</v>
      </c>
    </row>
    <row r="4">
      <c r="A4" s="2" t="s">
        <v>348</v>
      </c>
      <c r="B4" s="2" t="s">
        <v>37</v>
      </c>
      <c r="C4" s="2" t="s">
        <v>345</v>
      </c>
      <c r="D4" s="19">
        <f>COUNTIFS(Companies!$T$2:$T$301,$A4,Companies!$H$2:$H$301,"&gt;=0")</f>
        <v>42</v>
      </c>
      <c r="E4" s="28" t="str">
        <f t="shared" si="1"/>
        <v/>
      </c>
      <c r="F4" s="29">
        <f t="array" ref="F4">IFERROR(IF($D4=0,"",MIN(IF((Companies!$T$2:$T$301=$A4)*ISNUMBER(Companies!$H$2:$H$301),Companies!$H$2:$H$301))),"")</f>
        <v>8</v>
      </c>
      <c r="G4" s="29">
        <f t="array" ref="G4">IFERROR(IF($D4=0,"",QUARTILE(IF((Companies!$T$2:$T$301=$A4)*ISNUMBER(Companies!$H$2:$H$301),Companies!$H$2:$H$301),1)),"")</f>
        <v>10.25</v>
      </c>
      <c r="H4" s="29">
        <f t="array" ref="H4">IFERROR(IF($D4=0,"",MEDIAN(IF((Companies!$T$2:$T$301=$A4)*ISNUMBER(Companies!$H$2:$H$301),Companies!$H$2:$H$301))),"")</f>
        <v>12</v>
      </c>
      <c r="I4" s="29">
        <f t="array" ref="I4">IFERROR(IF($D4=0,"",QUARTILE(IF((Companies!$T$2:$T$301=$A4)*ISNUMBER(Companies!$H$2:$H$301),Companies!$H$2:$H$301),3)),"")</f>
        <v>14</v>
      </c>
      <c r="J4" s="29">
        <f t="array" ref="J4">IFERROR(IF($D4=0,"",MAX(IF((Companies!$T$2:$T$301=$A4)*ISNUMBER(Companies!$H$2:$H$301),Companies!$H$2:$H$301))),"")</f>
        <v>18</v>
      </c>
      <c r="K4" s="29">
        <f t="array" ref="K4">IFERROR(IF($D4=0,"",MIN(IF((Companies!$T$2:$T$301=$A4)*ISNUMBER(Companies!$I$2:$I$301),Companies!$I$2:$I$301))),"")</f>
        <v>4</v>
      </c>
      <c r="L4" s="29">
        <f t="array" ref="L4">IFERROR(IF($D4=0,"",QUARTILE(IF((Companies!$T$2:$T$301=$A4)*ISNUMBER(Companies!$I$2:$I$301),Companies!$I$2:$I$301),1)),"")</f>
        <v>5</v>
      </c>
      <c r="M4" s="29">
        <f t="array" ref="M4">IFERROR(IF($D4=0,"",MEDIAN(IF((Companies!$T$2:$T$301=$A4)*ISNUMBER(Companies!$I$2:$I$301),Companies!$I$2:$I$301))),"")</f>
        <v>7.5</v>
      </c>
      <c r="N4" s="29">
        <f t="array" ref="N4">IFERROR(IF($D4=0,"",QUARTILE(IF((Companies!$T$2:$T$301=$A4)*ISNUMBER(Companies!$I$2:$I$301),Companies!$I$2:$I$301),3)),"")</f>
        <v>9.75</v>
      </c>
      <c r="O4" s="29">
        <f t="array" ref="O4">IFERROR(IF($D4=0,"",MAX(IF((Companies!$T$2:$T$301=$A4)*ISNUMBER(Companies!$I$2:$I$301),Companies!$I$2:$I$301))),"")</f>
        <v>12</v>
      </c>
      <c r="P4" s="19" t="str">
        <f t="array" ref="P4">IF(MAX(Calc!$B6:$E6)=0,"",INDEX(Calc!$B$3:$E$3,MATCH(MAX(Calc!$B6:$E6),Calc!$B6:$E6,0)))</f>
        <v>100% top-up</v>
      </c>
      <c r="Q4" s="19" t="str">
        <f t="array" ref="Q4">IF(MAX(Calc!$G6:$J6)=0,"",INDEX(Calc!$G$3:$J$3,MATCH(MAX(Calc!$G6:$J6),Calc!$G6:$J6,0)))</f>
        <v>Day 1</v>
      </c>
      <c r="R4" s="19" t="str">
        <f t="array" ref="R4">IF(MAX(Calc!$L6:$N6)=0,"",INDEX(Calc!$L$3:$N$3,MATCH(MAX(Calc!$L6:$N6),Calc!$L6:$N6,0)))</f>
        <v>Flexible chunks / 12 mo</v>
      </c>
      <c r="S4" s="19" t="str">
        <f t="array" ref="S4">IF(MAX(Calc!$P6:$S6)=0,"",INDEX(Calc!$P$3:$S$3,MATCH(MAX(Calc!$P6:$S6),Calc!$P6:$S6,0)))</f>
        <v>&lt;=1 wk</v>
      </c>
    </row>
    <row r="5">
      <c r="A5" s="2" t="s">
        <v>349</v>
      </c>
      <c r="B5" s="2" t="s">
        <v>37</v>
      </c>
      <c r="C5" s="2" t="s">
        <v>347</v>
      </c>
      <c r="D5" s="19">
        <f>COUNTIFS(Companies!$T$2:$T$301,$A5,Companies!$H$2:$H$301,"&gt;=0")</f>
        <v>25</v>
      </c>
      <c r="E5" s="28" t="str">
        <f t="shared" si="1"/>
        <v>LOW SAMPLE (n&lt;30)</v>
      </c>
      <c r="F5" s="29">
        <f t="array" ref="F5">IFERROR(IF($D5=0,"",MIN(IF((Companies!$T$2:$T$301=$A5)*ISNUMBER(Companies!$H$2:$H$301),Companies!$H$2:$H$301))),"")</f>
        <v>8</v>
      </c>
      <c r="G5" s="29">
        <f t="array" ref="G5">IFERROR(IF($D5=0,"",QUARTILE(IF((Companies!$T$2:$T$301=$A5)*ISNUMBER(Companies!$H$2:$H$301),Companies!$H$2:$H$301),1)),"")</f>
        <v>12</v>
      </c>
      <c r="H5" s="29">
        <f t="array" ref="H5">IFERROR(IF($D5=0,"",MEDIAN(IF((Companies!$T$2:$T$301=$A5)*ISNUMBER(Companies!$H$2:$H$301),Companies!$H$2:$H$301))),"")</f>
        <v>14</v>
      </c>
      <c r="I5" s="29">
        <f t="array" ref="I5">IFERROR(IF($D5=0,"",QUARTILE(IF((Companies!$T$2:$T$301=$A5)*ISNUMBER(Companies!$H$2:$H$301),Companies!$H$2:$H$301),3)),"")</f>
        <v>16</v>
      </c>
      <c r="J5" s="29">
        <f t="array" ref="J5">IFERROR(IF($D5=0,"",MAX(IF((Companies!$T$2:$T$301=$A5)*ISNUMBER(Companies!$H$2:$H$301),Companies!$H$2:$H$301))),"")</f>
        <v>18</v>
      </c>
      <c r="K5" s="29">
        <f t="array" ref="K5">IFERROR(IF($D5=0,"",MIN(IF((Companies!$T$2:$T$301=$A5)*ISNUMBER(Companies!$I$2:$I$301),Companies!$I$2:$I$301))),"")</f>
        <v>4</v>
      </c>
      <c r="L5" s="29">
        <f t="array" ref="L5">IFERROR(IF($D5=0,"",QUARTILE(IF((Companies!$T$2:$T$301=$A5)*ISNUMBER(Companies!$I$2:$I$301),Companies!$I$2:$I$301),1)),"")</f>
        <v>6</v>
      </c>
      <c r="M5" s="29">
        <f t="array" ref="M5">IFERROR(IF($D5=0,"",MEDIAN(IF((Companies!$T$2:$T$301=$A5)*ISNUMBER(Companies!$I$2:$I$301),Companies!$I$2:$I$301))),"")</f>
        <v>7</v>
      </c>
      <c r="N5" s="29">
        <f t="array" ref="N5">IFERROR(IF($D5=0,"",QUARTILE(IF((Companies!$T$2:$T$301=$A5)*ISNUMBER(Companies!$I$2:$I$301),Companies!$I$2:$I$301),3)),"")</f>
        <v>9</v>
      </c>
      <c r="O5" s="29">
        <f t="array" ref="O5">IFERROR(IF($D5=0,"",MAX(IF((Companies!$T$2:$T$301=$A5)*ISNUMBER(Companies!$I$2:$I$301),Companies!$I$2:$I$301))),"")</f>
        <v>11</v>
      </c>
      <c r="P5" s="19" t="str">
        <f t="array" ref="P5">IF(MAX(Calc!$B7:$E7)=0,"",INDEX(Calc!$B$3:$E$3,MATCH(MAX(Calc!$B7:$E7),Calc!$B7:$E7,0)))</f>
        <v>100% top-up</v>
      </c>
      <c r="Q5" s="19" t="str">
        <f t="array" ref="Q5">IF(MAX(Calc!$G7:$J7)=0,"",INDEX(Calc!$G$3:$J$3,MATCH(MAX(Calc!$G7:$J7),Calc!$G7:$J7,0)))</f>
        <v>6 months</v>
      </c>
      <c r="R5" s="19" t="str">
        <f t="array" ref="R5">IF(MAX(Calc!$L7:$N7)=0,"",INDEX(Calc!$L$3:$N$3,MATCH(MAX(Calc!$L7:$N7),Calc!$L7:$N7,0)))</f>
        <v>Single block</v>
      </c>
      <c r="S5" s="19" t="str">
        <f t="array" ref="S5">IF(MAX(Calc!$P7:$S7)=0,"",INDEX(Calc!$P$3:$S$3,MATCH(MAX(Calc!$P7:$S7),Calc!$P7:$S7,0)))</f>
        <v>None</v>
      </c>
    </row>
    <row r="6">
      <c r="A6" s="2" t="s">
        <v>350</v>
      </c>
      <c r="B6" s="2" t="s">
        <v>47</v>
      </c>
      <c r="C6" s="2" t="s">
        <v>345</v>
      </c>
      <c r="D6" s="19">
        <f>COUNTIFS(Companies!$T$2:$T$301,$A6,Companies!$H$2:$H$301,"&gt;=0")</f>
        <v>46</v>
      </c>
      <c r="E6" s="28" t="str">
        <f t="shared" si="1"/>
        <v/>
      </c>
      <c r="F6" s="29">
        <f t="array" ref="F6">IFERROR(IF($D6=0,"",MIN(IF((Companies!$T$2:$T$301=$A6)*ISNUMBER(Companies!$H$2:$H$301),Companies!$H$2:$H$301))),"")</f>
        <v>11</v>
      </c>
      <c r="G6" s="29">
        <f t="array" ref="G6">IFERROR(IF($D6=0,"",QUARTILE(IF((Companies!$T$2:$T$301=$A6)*ISNUMBER(Companies!$H$2:$H$301),Companies!$H$2:$H$301),1)),"")</f>
        <v>14</v>
      </c>
      <c r="H6" s="29">
        <f t="array" ref="H6">IFERROR(IF($D6=0,"",MEDIAN(IF((Companies!$T$2:$T$301=$A6)*ISNUMBER(Companies!$H$2:$H$301),Companies!$H$2:$H$301))),"")</f>
        <v>18</v>
      </c>
      <c r="I6" s="29">
        <f t="array" ref="I6">IFERROR(IF($D6=0,"",QUARTILE(IF((Companies!$T$2:$T$301=$A6)*ISNUMBER(Companies!$H$2:$H$301),Companies!$H$2:$H$301),3)),"")</f>
        <v>20</v>
      </c>
      <c r="J6" s="29">
        <f t="array" ref="J6">IFERROR(IF($D6=0,"",MAX(IF((Companies!$T$2:$T$301=$A6)*ISNUMBER(Companies!$H$2:$H$301),Companies!$H$2:$H$301))),"")</f>
        <v>24</v>
      </c>
      <c r="K6" s="29">
        <f t="array" ref="K6">IFERROR(IF($D6=0,"",MIN(IF((Companies!$T$2:$T$301=$A6)*ISNUMBER(Companies!$I$2:$I$301),Companies!$I$2:$I$301))),"")</f>
        <v>4</v>
      </c>
      <c r="L6" s="29">
        <f t="array" ref="L6">IFERROR(IF($D6=0,"",QUARTILE(IF((Companies!$T$2:$T$301=$A6)*ISNUMBER(Companies!$I$2:$I$301),Companies!$I$2:$I$301),1)),"")</f>
        <v>6</v>
      </c>
      <c r="M6" s="29">
        <f t="array" ref="M6">IFERROR(IF($D6=0,"",MEDIAN(IF((Companies!$T$2:$T$301=$A6)*ISNUMBER(Companies!$I$2:$I$301),Companies!$I$2:$I$301))),"")</f>
        <v>10</v>
      </c>
      <c r="N6" s="29">
        <f t="array" ref="N6">IFERROR(IF($D6=0,"",QUARTILE(IF((Companies!$T$2:$T$301=$A6)*ISNUMBER(Companies!$I$2:$I$301),Companies!$I$2:$I$301),3)),"")</f>
        <v>13</v>
      </c>
      <c r="O6" s="29">
        <f t="array" ref="O6">IFERROR(IF($D6=0,"",MAX(IF((Companies!$T$2:$T$301=$A6)*ISNUMBER(Companies!$I$2:$I$301),Companies!$I$2:$I$301))),"")</f>
        <v>16</v>
      </c>
      <c r="P6" s="19" t="str">
        <f t="array" ref="P6">IF(MAX(Calc!$B8:$E8)=0,"",INDEX(Calc!$B$3:$E$3,MATCH(MAX(Calc!$B8:$E8),Calc!$B8:$E8,0)))</f>
        <v>100% top-up</v>
      </c>
      <c r="Q6" s="19" t="str">
        <f t="array" ref="Q6">IF(MAX(Calc!$G8:$J8)=0,"",INDEX(Calc!$G$3:$J$3,MATCH(MAX(Calc!$G8:$J8),Calc!$G8:$J8,0)))</f>
        <v>90 days</v>
      </c>
      <c r="R6" s="19" t="str">
        <f t="array" ref="R6">IF(MAX(Calc!$L8:$N8)=0,"",INDEX(Calc!$L$3:$N$3,MATCH(MAX(Calc!$L8:$N8),Calc!$L8:$N8,0)))</f>
        <v>Flexible chunks / 12 mo</v>
      </c>
      <c r="S6" s="19" t="str">
        <f t="array" ref="S6">IF(MAX(Calc!$P8:$S8)=0,"",INDEX(Calc!$P$3:$S$3,MATCH(MAX(Calc!$P8:$S8),Calc!$P8:$S8,0)))</f>
        <v>None</v>
      </c>
    </row>
    <row r="7">
      <c r="A7" s="2" t="s">
        <v>351</v>
      </c>
      <c r="B7" s="2" t="s">
        <v>47</v>
      </c>
      <c r="C7" s="2" t="s">
        <v>347</v>
      </c>
      <c r="D7" s="19">
        <f>COUNTIFS(Companies!$T$2:$T$301,$A7,Companies!$H$2:$H$301,"&gt;=0")</f>
        <v>21</v>
      </c>
      <c r="E7" s="28" t="str">
        <f t="shared" si="1"/>
        <v>LOW SAMPLE (n&lt;30)</v>
      </c>
      <c r="F7" s="29">
        <f t="array" ref="F7">IFERROR(IF($D7=0,"",MIN(IF((Companies!$T$2:$T$301=$A7)*ISNUMBER(Companies!$H$2:$H$301),Companies!$H$2:$H$301))),"")</f>
        <v>10</v>
      </c>
      <c r="G7" s="29">
        <f t="array" ref="G7">IFERROR(IF($D7=0,"",QUARTILE(IF((Companies!$T$2:$T$301=$A7)*ISNUMBER(Companies!$H$2:$H$301),Companies!$H$2:$H$301),1)),"")</f>
        <v>12</v>
      </c>
      <c r="H7" s="29">
        <f t="array" ref="H7">IFERROR(IF($D7=0,"",MEDIAN(IF((Companies!$T$2:$T$301=$A7)*ISNUMBER(Companies!$H$2:$H$301),Companies!$H$2:$H$301))),"")</f>
        <v>16</v>
      </c>
      <c r="I7" s="29">
        <f t="array" ref="I7">IFERROR(IF($D7=0,"",QUARTILE(IF((Companies!$T$2:$T$301=$A7)*ISNUMBER(Companies!$H$2:$H$301),Companies!$H$2:$H$301),3)),"")</f>
        <v>21</v>
      </c>
      <c r="J7" s="29">
        <f t="array" ref="J7">IFERROR(IF($D7=0,"",MAX(IF((Companies!$T$2:$T$301=$A7)*ISNUMBER(Companies!$H$2:$H$301),Companies!$H$2:$H$301))),"")</f>
        <v>24</v>
      </c>
      <c r="K7" s="29">
        <f t="array" ref="K7">IFERROR(IF($D7=0,"",MIN(IF((Companies!$T$2:$T$301=$A7)*ISNUMBER(Companies!$I$2:$I$301),Companies!$I$2:$I$301))),"")</f>
        <v>4</v>
      </c>
      <c r="L7" s="29">
        <f t="array" ref="L7">IFERROR(IF($D7=0,"",QUARTILE(IF((Companies!$T$2:$T$301=$A7)*ISNUMBER(Companies!$I$2:$I$301),Companies!$I$2:$I$301),1)),"")</f>
        <v>6</v>
      </c>
      <c r="M7" s="29">
        <f t="array" ref="M7">IFERROR(IF($D7=0,"",MEDIAN(IF((Companies!$T$2:$T$301=$A7)*ISNUMBER(Companies!$I$2:$I$301),Companies!$I$2:$I$301))),"")</f>
        <v>9</v>
      </c>
      <c r="N7" s="29">
        <f t="array" ref="N7">IFERROR(IF($D7=0,"",QUARTILE(IF((Companies!$T$2:$T$301=$A7)*ISNUMBER(Companies!$I$2:$I$301),Companies!$I$2:$I$301),3)),"")</f>
        <v>12</v>
      </c>
      <c r="O7" s="29">
        <f t="array" ref="O7">IFERROR(IF($D7=0,"",MAX(IF((Companies!$T$2:$T$301=$A7)*ISNUMBER(Companies!$I$2:$I$301),Companies!$I$2:$I$301))),"")</f>
        <v>15</v>
      </c>
      <c r="P7" s="19" t="str">
        <f t="array" ref="P7">IF(MAX(Calc!$B9:$E9)=0,"",INDEX(Calc!$B$3:$E$3,MATCH(MAX(Calc!$B9:$E9),Calc!$B9:$E9,0)))</f>
        <v>100% top-up</v>
      </c>
      <c r="Q7" s="19" t="str">
        <f t="array" ref="Q7">IF(MAX(Calc!$G9:$J9)=0,"",INDEX(Calc!$G$3:$J$3,MATCH(MAX(Calc!$G9:$J9),Calc!$G9:$J9,0)))</f>
        <v>12 months</v>
      </c>
      <c r="R7" s="19" t="str">
        <f t="array" ref="R7">IF(MAX(Calc!$L9:$N9)=0,"",INDEX(Calc!$L$3:$N$3,MATCH(MAX(Calc!$L9:$N9),Calc!$L9:$N9,0)))</f>
        <v>Single block</v>
      </c>
      <c r="S7" s="19" t="str">
        <f t="array" ref="S7">IF(MAX(Calc!$P9:$S9)=0,"",INDEX(Calc!$P$3:$S$3,MATCH(MAX(Calc!$P9:$S9),Calc!$P9:$S9,0)))</f>
        <v>None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7" width="8.71"/>
  </cols>
  <sheetData>
    <row r="1">
      <c r="A1" s="30"/>
      <c r="B1" s="30" t="s">
        <v>352</v>
      </c>
    </row>
    <row r="2">
      <c r="A2" s="31" t="s">
        <v>325</v>
      </c>
      <c r="B2" s="3" t="s">
        <v>353</v>
      </c>
      <c r="G2" s="3" t="s">
        <v>354</v>
      </c>
      <c r="L2" s="3" t="s">
        <v>355</v>
      </c>
      <c r="P2" s="3" t="s">
        <v>356</v>
      </c>
    </row>
    <row r="3">
      <c r="A3" s="32"/>
      <c r="B3" s="19" t="str">
        <f>'Ranges - Config'!$D$2</f>
        <v>100% top-up</v>
      </c>
      <c r="C3" s="19" t="str">
        <f>'Ranges - Config'!$D$3</f>
        <v>Partial top-up</v>
      </c>
      <c r="D3" s="19" t="str">
        <f>'Ranges - Config'!$D$4</f>
        <v>STD only</v>
      </c>
      <c r="E3" s="19" t="str">
        <f>'Ranges - Config'!$D$5</f>
        <v>Unpaid beyond legal</v>
      </c>
      <c r="G3" s="19" t="str">
        <f>'Ranges - Config'!$E$2</f>
        <v>Day 1</v>
      </c>
      <c r="H3" s="19" t="str">
        <f>'Ranges - Config'!$E$3</f>
        <v>90 days</v>
      </c>
      <c r="I3" s="19" t="str">
        <f>'Ranges - Config'!$E$4</f>
        <v>6 months</v>
      </c>
      <c r="J3" s="19" t="str">
        <f>'Ranges - Config'!$E$5</f>
        <v>12 months</v>
      </c>
      <c r="L3" s="19" t="str">
        <f>'Ranges - Config'!$F$2</f>
        <v>Single block</v>
      </c>
      <c r="M3" s="19" t="str">
        <f>'Ranges - Config'!$F$3</f>
        <v>2 chunks</v>
      </c>
      <c r="N3" s="19" t="str">
        <f>'Ranges - Config'!$F$4</f>
        <v>Flexible chunks / 12 mo</v>
      </c>
      <c r="P3" s="19" t="str">
        <f>'Ranges - Config'!$G$2</f>
        <v>None</v>
      </c>
      <c r="Q3" s="19" t="str">
        <f>'Ranges - Config'!$G$3</f>
        <v>&lt;=1 wk</v>
      </c>
      <c r="R3" s="19" t="str">
        <f>'Ranges - Config'!$G$4</f>
        <v>1-2 wks</v>
      </c>
      <c r="S3" s="19" t="str">
        <f>'Ranges - Config'!$G$5</f>
        <v>2-4 wks</v>
      </c>
    </row>
    <row r="4">
      <c r="A4" s="15" t="s">
        <v>343</v>
      </c>
      <c r="B4" s="19">
        <f>COUNTIFS(Companies!$T$2:$T$301,Benchmarks!$A2,Companies!$J$2:$J$301,B$3)</f>
        <v>29</v>
      </c>
      <c r="C4" s="19">
        <f>COUNTIFS(Companies!$T$2:$T$301,Benchmarks!$A2,Companies!$J$2:$J$301,C$3)</f>
        <v>10</v>
      </c>
      <c r="D4" s="19">
        <f>COUNTIFS(Companies!$T$2:$T$301,Benchmarks!$A2,Companies!$J$2:$J$301,D$3)</f>
        <v>12</v>
      </c>
      <c r="E4" s="19">
        <f>COUNTIFS(Companies!$T$2:$T$301,Benchmarks!$A2,Companies!$J$2:$J$301,E$3)</f>
        <v>1</v>
      </c>
      <c r="G4" s="19">
        <f>COUNTIFS(Companies!$T$2:$T$301,Benchmarks!$A2,Companies!$L$2:$L$301,G$3)</f>
        <v>10</v>
      </c>
      <c r="H4" s="19">
        <f>COUNTIFS(Companies!$T$2:$T$301,Benchmarks!$A2,Companies!$L$2:$L$301,H$3)</f>
        <v>10</v>
      </c>
      <c r="I4" s="19">
        <f>COUNTIFS(Companies!$T$2:$T$301,Benchmarks!$A2,Companies!$L$2:$L$301,I$3)</f>
        <v>10</v>
      </c>
      <c r="J4" s="19">
        <f>COUNTIFS(Companies!$T$2:$T$301,Benchmarks!$A2,Companies!$L$2:$L$301,J$3)</f>
        <v>20</v>
      </c>
      <c r="L4" s="19">
        <f>COUNTIFS(Companies!$T$2:$T$301,Benchmarks!$A2,Companies!$M$2:$M$301,L$3)</f>
        <v>18</v>
      </c>
      <c r="M4" s="19">
        <f>COUNTIFS(Companies!$T$2:$T$301,Benchmarks!$A2,Companies!$M$2:$M$301,M$3)</f>
        <v>14</v>
      </c>
      <c r="N4" s="19">
        <f>COUNTIFS(Companies!$T$2:$T$301,Benchmarks!$A2,Companies!$M$2:$M$301,N$3)</f>
        <v>18</v>
      </c>
      <c r="P4" s="19">
        <f>COUNTIFS(Companies!$T$2:$T$301,Benchmarks!$A2,Companies!$N$2:$N$301,P$3)</f>
        <v>19</v>
      </c>
      <c r="Q4" s="19">
        <f>COUNTIFS(Companies!$T$2:$T$301,Benchmarks!$A2,Companies!$N$2:$N$301,Q$3)</f>
        <v>11</v>
      </c>
      <c r="R4" s="19">
        <f>COUNTIFS(Companies!$T$2:$T$301,Benchmarks!$A2,Companies!$N$2:$N$301,R$3)</f>
        <v>15</v>
      </c>
      <c r="S4" s="19">
        <f>COUNTIFS(Companies!$T$2:$T$301,Benchmarks!$A2,Companies!$N$2:$N$301,S$3)</f>
        <v>6</v>
      </c>
    </row>
    <row r="5">
      <c r="A5" s="15" t="s">
        <v>346</v>
      </c>
      <c r="B5" s="19">
        <f>COUNTIFS(Companies!$T$2:$T$301,Benchmarks!$A3,Companies!$J$2:$J$301,B$3)</f>
        <v>9</v>
      </c>
      <c r="C5" s="19">
        <f>COUNTIFS(Companies!$T$2:$T$301,Benchmarks!$A3,Companies!$J$2:$J$301,C$3)</f>
        <v>6</v>
      </c>
      <c r="D5" s="19">
        <f>COUNTIFS(Companies!$T$2:$T$301,Benchmarks!$A3,Companies!$J$2:$J$301,D$3)</f>
        <v>4</v>
      </c>
      <c r="E5" s="19">
        <f>COUNTIFS(Companies!$T$2:$T$301,Benchmarks!$A3,Companies!$J$2:$J$301,E$3)</f>
        <v>2</v>
      </c>
      <c r="G5" s="19">
        <f>COUNTIFS(Companies!$T$2:$T$301,Benchmarks!$A3,Companies!$L$2:$L$301,G$3)</f>
        <v>4</v>
      </c>
      <c r="H5" s="19">
        <f>COUNTIFS(Companies!$T$2:$T$301,Benchmarks!$A3,Companies!$L$2:$L$301,H$3)</f>
        <v>6</v>
      </c>
      <c r="I5" s="19">
        <f>COUNTIFS(Companies!$T$2:$T$301,Benchmarks!$A3,Companies!$L$2:$L$301,I$3)</f>
        <v>6</v>
      </c>
      <c r="J5" s="19">
        <f>COUNTIFS(Companies!$T$2:$T$301,Benchmarks!$A3,Companies!$L$2:$L$301,J$3)</f>
        <v>5</v>
      </c>
      <c r="L5" s="19">
        <f>COUNTIFS(Companies!$T$2:$T$301,Benchmarks!$A3,Companies!$M$2:$M$301,L$3)</f>
        <v>5</v>
      </c>
      <c r="M5" s="19">
        <f>COUNTIFS(Companies!$T$2:$T$301,Benchmarks!$A3,Companies!$M$2:$M$301,M$3)</f>
        <v>4</v>
      </c>
      <c r="N5" s="19">
        <f>COUNTIFS(Companies!$T$2:$T$301,Benchmarks!$A3,Companies!$M$2:$M$301,N$3)</f>
        <v>12</v>
      </c>
      <c r="P5" s="19">
        <f>COUNTIFS(Companies!$T$2:$T$301,Benchmarks!$A3,Companies!$N$2:$N$301,P$3)</f>
        <v>7</v>
      </c>
      <c r="Q5" s="19">
        <f>COUNTIFS(Companies!$T$2:$T$301,Benchmarks!$A3,Companies!$N$2:$N$301,Q$3)</f>
        <v>5</v>
      </c>
      <c r="R5" s="19">
        <f>COUNTIFS(Companies!$T$2:$T$301,Benchmarks!$A3,Companies!$N$2:$N$301,R$3)</f>
        <v>8</v>
      </c>
      <c r="S5" s="19">
        <f>COUNTIFS(Companies!$T$2:$T$301,Benchmarks!$A3,Companies!$N$2:$N$301,S$3)</f>
        <v>1</v>
      </c>
    </row>
    <row r="6">
      <c r="A6" s="15" t="s">
        <v>348</v>
      </c>
      <c r="B6" s="19">
        <f>COUNTIFS(Companies!$T$2:$T$301,Benchmarks!$A4,Companies!$J$2:$J$301,B$3)</f>
        <v>24</v>
      </c>
      <c r="C6" s="19">
        <f>COUNTIFS(Companies!$T$2:$T$301,Benchmarks!$A4,Companies!$J$2:$J$301,C$3)</f>
        <v>11</v>
      </c>
      <c r="D6" s="19">
        <f>COUNTIFS(Companies!$T$2:$T$301,Benchmarks!$A4,Companies!$J$2:$J$301,D$3)</f>
        <v>4</v>
      </c>
      <c r="E6" s="19">
        <f>COUNTIFS(Companies!$T$2:$T$301,Benchmarks!$A4,Companies!$J$2:$J$301,E$3)</f>
        <v>3</v>
      </c>
      <c r="G6" s="19">
        <f>COUNTIFS(Companies!$T$2:$T$301,Benchmarks!$A4,Companies!$L$2:$L$301,G$3)</f>
        <v>15</v>
      </c>
      <c r="H6" s="19">
        <f>COUNTIFS(Companies!$T$2:$T$301,Benchmarks!$A4,Companies!$L$2:$L$301,H$3)</f>
        <v>6</v>
      </c>
      <c r="I6" s="19">
        <f>COUNTIFS(Companies!$T$2:$T$301,Benchmarks!$A4,Companies!$L$2:$L$301,I$3)</f>
        <v>10</v>
      </c>
      <c r="J6" s="19">
        <f>COUNTIFS(Companies!$T$2:$T$301,Benchmarks!$A4,Companies!$L$2:$L$301,J$3)</f>
        <v>11</v>
      </c>
      <c r="L6" s="19">
        <f>COUNTIFS(Companies!$T$2:$T$301,Benchmarks!$A4,Companies!$M$2:$M$301,L$3)</f>
        <v>12</v>
      </c>
      <c r="M6" s="19">
        <f>COUNTIFS(Companies!$T$2:$T$301,Benchmarks!$A4,Companies!$M$2:$M$301,M$3)</f>
        <v>13</v>
      </c>
      <c r="N6" s="19">
        <f>COUNTIFS(Companies!$T$2:$T$301,Benchmarks!$A4,Companies!$M$2:$M$301,N$3)</f>
        <v>17</v>
      </c>
      <c r="P6" s="19">
        <f>COUNTIFS(Companies!$T$2:$T$301,Benchmarks!$A4,Companies!$N$2:$N$301,P$3)</f>
        <v>10</v>
      </c>
      <c r="Q6" s="19">
        <f>COUNTIFS(Companies!$T$2:$T$301,Benchmarks!$A4,Companies!$N$2:$N$301,Q$3)</f>
        <v>16</v>
      </c>
      <c r="R6" s="19">
        <f>COUNTIFS(Companies!$T$2:$T$301,Benchmarks!$A4,Companies!$N$2:$N$301,R$3)</f>
        <v>10</v>
      </c>
      <c r="S6" s="19">
        <f>COUNTIFS(Companies!$T$2:$T$301,Benchmarks!$A4,Companies!$N$2:$N$301,S$3)</f>
        <v>6</v>
      </c>
    </row>
    <row r="7">
      <c r="A7" s="15" t="s">
        <v>349</v>
      </c>
      <c r="B7" s="19">
        <f>COUNTIFS(Companies!$T$2:$T$301,Benchmarks!$A5,Companies!$J$2:$J$301,B$3)</f>
        <v>14</v>
      </c>
      <c r="C7" s="19">
        <f>COUNTIFS(Companies!$T$2:$T$301,Benchmarks!$A5,Companies!$J$2:$J$301,C$3)</f>
        <v>8</v>
      </c>
      <c r="D7" s="19">
        <f>COUNTIFS(Companies!$T$2:$T$301,Benchmarks!$A5,Companies!$J$2:$J$301,D$3)</f>
        <v>3</v>
      </c>
      <c r="E7" s="19">
        <f>COUNTIFS(Companies!$T$2:$T$301,Benchmarks!$A5,Companies!$J$2:$J$301,E$3)</f>
        <v>0</v>
      </c>
      <c r="G7" s="19">
        <f>COUNTIFS(Companies!$T$2:$T$301,Benchmarks!$A5,Companies!$L$2:$L$301,G$3)</f>
        <v>6</v>
      </c>
      <c r="H7" s="19">
        <f>COUNTIFS(Companies!$T$2:$T$301,Benchmarks!$A5,Companies!$L$2:$L$301,H$3)</f>
        <v>5</v>
      </c>
      <c r="I7" s="19">
        <f>COUNTIFS(Companies!$T$2:$T$301,Benchmarks!$A5,Companies!$L$2:$L$301,I$3)</f>
        <v>8</v>
      </c>
      <c r="J7" s="19">
        <f>COUNTIFS(Companies!$T$2:$T$301,Benchmarks!$A5,Companies!$L$2:$L$301,J$3)</f>
        <v>6</v>
      </c>
      <c r="L7" s="19">
        <f>COUNTIFS(Companies!$T$2:$T$301,Benchmarks!$A5,Companies!$M$2:$M$301,L$3)</f>
        <v>9</v>
      </c>
      <c r="M7" s="19">
        <f>COUNTIFS(Companies!$T$2:$T$301,Benchmarks!$A5,Companies!$M$2:$M$301,M$3)</f>
        <v>7</v>
      </c>
      <c r="N7" s="19">
        <f>COUNTIFS(Companies!$T$2:$T$301,Benchmarks!$A5,Companies!$M$2:$M$301,N$3)</f>
        <v>9</v>
      </c>
      <c r="P7" s="19">
        <f>COUNTIFS(Companies!$T$2:$T$301,Benchmarks!$A5,Companies!$N$2:$N$301,P$3)</f>
        <v>12</v>
      </c>
      <c r="Q7" s="19">
        <f>COUNTIFS(Companies!$T$2:$T$301,Benchmarks!$A5,Companies!$N$2:$N$301,Q$3)</f>
        <v>5</v>
      </c>
      <c r="R7" s="19">
        <f>COUNTIFS(Companies!$T$2:$T$301,Benchmarks!$A5,Companies!$N$2:$N$301,R$3)</f>
        <v>5</v>
      </c>
      <c r="S7" s="19">
        <f>COUNTIFS(Companies!$T$2:$T$301,Benchmarks!$A5,Companies!$N$2:$N$301,S$3)</f>
        <v>3</v>
      </c>
    </row>
    <row r="8">
      <c r="A8" s="15" t="s">
        <v>350</v>
      </c>
      <c r="B8" s="19">
        <f>COUNTIFS(Companies!$T$2:$T$301,Benchmarks!$A6,Companies!$J$2:$J$301,B$3)</f>
        <v>27</v>
      </c>
      <c r="C8" s="19">
        <f>COUNTIFS(Companies!$T$2:$T$301,Benchmarks!$A6,Companies!$J$2:$J$301,C$3)</f>
        <v>12</v>
      </c>
      <c r="D8" s="19">
        <f>COUNTIFS(Companies!$T$2:$T$301,Benchmarks!$A6,Companies!$J$2:$J$301,D$3)</f>
        <v>7</v>
      </c>
      <c r="E8" s="19">
        <f>COUNTIFS(Companies!$T$2:$T$301,Benchmarks!$A6,Companies!$J$2:$J$301,E$3)</f>
        <v>0</v>
      </c>
      <c r="G8" s="19">
        <f>COUNTIFS(Companies!$T$2:$T$301,Benchmarks!$A6,Companies!$L$2:$L$301,G$3)</f>
        <v>7</v>
      </c>
      <c r="H8" s="19">
        <f>COUNTIFS(Companies!$T$2:$T$301,Benchmarks!$A6,Companies!$L$2:$L$301,H$3)</f>
        <v>13</v>
      </c>
      <c r="I8" s="19">
        <f>COUNTIFS(Companies!$T$2:$T$301,Benchmarks!$A6,Companies!$L$2:$L$301,I$3)</f>
        <v>12</v>
      </c>
      <c r="J8" s="19">
        <f>COUNTIFS(Companies!$T$2:$T$301,Benchmarks!$A6,Companies!$L$2:$L$301,J$3)</f>
        <v>12</v>
      </c>
      <c r="L8" s="19">
        <f>COUNTIFS(Companies!$T$2:$T$301,Benchmarks!$A6,Companies!$M$2:$M$301,L$3)</f>
        <v>14</v>
      </c>
      <c r="M8" s="19">
        <f>COUNTIFS(Companies!$T$2:$T$301,Benchmarks!$A6,Companies!$M$2:$M$301,M$3)</f>
        <v>14</v>
      </c>
      <c r="N8" s="19">
        <f>COUNTIFS(Companies!$T$2:$T$301,Benchmarks!$A6,Companies!$M$2:$M$301,N$3)</f>
        <v>17</v>
      </c>
      <c r="P8" s="19">
        <f>COUNTIFS(Companies!$T$2:$T$301,Benchmarks!$A6,Companies!$N$2:$N$301,P$3)</f>
        <v>19</v>
      </c>
      <c r="Q8" s="19">
        <f>COUNTIFS(Companies!$T$2:$T$301,Benchmarks!$A6,Companies!$N$2:$N$301,Q$3)</f>
        <v>11</v>
      </c>
      <c r="R8" s="19">
        <f>COUNTIFS(Companies!$T$2:$T$301,Benchmarks!$A6,Companies!$N$2:$N$301,R$3)</f>
        <v>9</v>
      </c>
      <c r="S8" s="19">
        <f>COUNTIFS(Companies!$T$2:$T$301,Benchmarks!$A6,Companies!$N$2:$N$301,S$3)</f>
        <v>5</v>
      </c>
    </row>
    <row r="9">
      <c r="A9" s="15" t="s">
        <v>351</v>
      </c>
      <c r="B9" s="19">
        <f>COUNTIFS(Companies!$T$2:$T$301,Benchmarks!$A7,Companies!$J$2:$J$301,B$3)</f>
        <v>12</v>
      </c>
      <c r="C9" s="19">
        <f>COUNTIFS(Companies!$T$2:$T$301,Benchmarks!$A7,Companies!$J$2:$J$301,C$3)</f>
        <v>3</v>
      </c>
      <c r="D9" s="19">
        <f>COUNTIFS(Companies!$T$2:$T$301,Benchmarks!$A7,Companies!$J$2:$J$301,D$3)</f>
        <v>4</v>
      </c>
      <c r="E9" s="19">
        <f>COUNTIFS(Companies!$T$2:$T$301,Benchmarks!$A7,Companies!$J$2:$J$301,E$3)</f>
        <v>2</v>
      </c>
      <c r="G9" s="19">
        <f>COUNTIFS(Companies!$T$2:$T$301,Benchmarks!$A7,Companies!$L$2:$L$301,G$3)</f>
        <v>4</v>
      </c>
      <c r="H9" s="19">
        <f>COUNTIFS(Companies!$T$2:$T$301,Benchmarks!$A7,Companies!$L$2:$L$301,H$3)</f>
        <v>3</v>
      </c>
      <c r="I9" s="19">
        <f>COUNTIFS(Companies!$T$2:$T$301,Benchmarks!$A7,Companies!$L$2:$L$301,I$3)</f>
        <v>3</v>
      </c>
      <c r="J9" s="19">
        <f>COUNTIFS(Companies!$T$2:$T$301,Benchmarks!$A7,Companies!$L$2:$L$301,J$3)</f>
        <v>9</v>
      </c>
      <c r="L9" s="19">
        <f>COUNTIFS(Companies!$T$2:$T$301,Benchmarks!$A7,Companies!$M$2:$M$301,L$3)</f>
        <v>8</v>
      </c>
      <c r="M9" s="19">
        <f>COUNTIFS(Companies!$T$2:$T$301,Benchmarks!$A7,Companies!$M$2:$M$301,M$3)</f>
        <v>4</v>
      </c>
      <c r="N9" s="19">
        <f>COUNTIFS(Companies!$T$2:$T$301,Benchmarks!$A7,Companies!$M$2:$M$301,N$3)</f>
        <v>7</v>
      </c>
      <c r="P9" s="19">
        <f>COUNTIFS(Companies!$T$2:$T$301,Benchmarks!$A7,Companies!$N$2:$N$301,P$3)</f>
        <v>9</v>
      </c>
      <c r="Q9" s="19">
        <f>COUNTIFS(Companies!$T$2:$T$301,Benchmarks!$A7,Companies!$N$2:$N$301,Q$3)</f>
        <v>3</v>
      </c>
      <c r="R9" s="19">
        <f>COUNTIFS(Companies!$T$2:$T$301,Benchmarks!$A7,Companies!$N$2:$N$301,R$3)</f>
        <v>3</v>
      </c>
      <c r="S9" s="19">
        <f>COUNTIFS(Companies!$T$2:$T$301,Benchmarks!$A7,Companies!$N$2:$N$301,S$3)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1.0"/>
    <col customWidth="1" min="3" max="3" width="12.0"/>
    <col customWidth="1" min="4" max="4" width="13.0"/>
    <col customWidth="1" min="5" max="5" width="11.0"/>
    <col customWidth="1" min="6" max="6" width="12.0"/>
    <col customWidth="1" min="7" max="7" width="13.0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5.0"/>
    <col customWidth="1" min="13" max="26" width="8.71"/>
  </cols>
  <sheetData>
    <row r="1" ht="30.0" customHeight="1">
      <c r="A1" s="7" t="s">
        <v>325</v>
      </c>
      <c r="B1" s="8" t="s">
        <v>357</v>
      </c>
      <c r="C1" s="8" t="s">
        <v>358</v>
      </c>
      <c r="D1" s="33" t="s">
        <v>359</v>
      </c>
      <c r="E1" s="8" t="s">
        <v>360</v>
      </c>
      <c r="F1" s="8" t="s">
        <v>361</v>
      </c>
      <c r="G1" s="8" t="s">
        <v>362</v>
      </c>
      <c r="H1" s="8" t="s">
        <v>363</v>
      </c>
      <c r="I1" s="8" t="s">
        <v>364</v>
      </c>
      <c r="J1" s="8" t="s">
        <v>365</v>
      </c>
      <c r="K1" s="8" t="s">
        <v>366</v>
      </c>
      <c r="L1" s="8" t="s">
        <v>367</v>
      </c>
    </row>
    <row r="2">
      <c r="A2" s="19" t="str">
        <f>Benchmarks!$A2</f>
        <v>Seed | Standard</v>
      </c>
      <c r="B2" s="29">
        <f>Benchmarks!$G2</f>
        <v>9</v>
      </c>
      <c r="C2" s="29">
        <f>Benchmarks!$H2</f>
        <v>11</v>
      </c>
      <c r="D2" s="19" t="str">
        <f>IF(OR(Benchmarks!$G2="",Benchmarks!$I2=""),"",TEXT(Benchmarks!$G2,"0")&amp;"-"&amp;TEXT(Benchmarks!$I2,"0")&amp;" wks")</f>
        <v>9-12 wks</v>
      </c>
      <c r="E2" s="29">
        <f>Benchmarks!$L2</f>
        <v>3</v>
      </c>
      <c r="F2" s="29">
        <f>Benchmarks!$M2</f>
        <v>5</v>
      </c>
      <c r="G2" s="19" t="str">
        <f>IF(OR(Benchmarks!$L2="",Benchmarks!$N2=""),"",TEXT(Benchmarks!$L2,"0")&amp;"-"&amp;TEXT(Benchmarks!$N2,"0")&amp;" wks")</f>
        <v>3-7 wks</v>
      </c>
      <c r="H2" s="19" t="str">
        <f>Benchmarks!$P2</f>
        <v>100% top-up</v>
      </c>
      <c r="I2" s="19" t="str">
        <f>Benchmarks!$Q2</f>
        <v>12 months</v>
      </c>
      <c r="J2" s="19" t="str">
        <f>Benchmarks!$R2</f>
        <v>Single block</v>
      </c>
      <c r="K2" s="19" t="str">
        <f>Benchmarks!$S2</f>
        <v>None</v>
      </c>
      <c r="L2" s="19" t="str">
        <f>Benchmarks!$E2</f>
        <v/>
      </c>
    </row>
    <row r="3">
      <c r="A3" s="19" t="str">
        <f>Benchmarks!$A3</f>
        <v>Seed | High-cost</v>
      </c>
      <c r="B3" s="29">
        <f>Benchmarks!$G3</f>
        <v>8</v>
      </c>
      <c r="C3" s="29">
        <f>Benchmarks!$H3</f>
        <v>10</v>
      </c>
      <c r="D3" s="19" t="str">
        <f>IF(OR(Benchmarks!$G3="",Benchmarks!$I3=""),"",TEXT(Benchmarks!$G3,"0")&amp;"-"&amp;TEXT(Benchmarks!$I3,"0")&amp;" wks")</f>
        <v>8-13 wks</v>
      </c>
      <c r="E3" s="29">
        <f>Benchmarks!$L3</f>
        <v>3</v>
      </c>
      <c r="F3" s="29">
        <f>Benchmarks!$M3</f>
        <v>4</v>
      </c>
      <c r="G3" s="19" t="str">
        <f>IF(OR(Benchmarks!$L3="",Benchmarks!$N3=""),"",TEXT(Benchmarks!$L3,"0")&amp;"-"&amp;TEXT(Benchmarks!$N3,"0")&amp;" wks")</f>
        <v>3-6 wks</v>
      </c>
      <c r="H3" s="19" t="str">
        <f>Benchmarks!$P3</f>
        <v>100% top-up</v>
      </c>
      <c r="I3" s="19" t="str">
        <f>Benchmarks!$Q3</f>
        <v>90 days</v>
      </c>
      <c r="J3" s="19" t="str">
        <f>Benchmarks!$R3</f>
        <v>Flexible chunks / 12 mo</v>
      </c>
      <c r="K3" s="19" t="str">
        <f>Benchmarks!$S3</f>
        <v>1-2 wks</v>
      </c>
      <c r="L3" s="19" t="str">
        <f>Benchmarks!$E3</f>
        <v>LOW SAMPLE (n&lt;30)</v>
      </c>
    </row>
    <row r="4">
      <c r="A4" s="19" t="str">
        <f>Benchmarks!$A4</f>
        <v>Series A | Standard</v>
      </c>
      <c r="B4" s="29">
        <f>Benchmarks!$G4</f>
        <v>10.25</v>
      </c>
      <c r="C4" s="29">
        <f>Benchmarks!$H4</f>
        <v>12</v>
      </c>
      <c r="D4" s="19" t="str">
        <f>IF(OR(Benchmarks!$G4="",Benchmarks!$I4=""),"",TEXT(Benchmarks!$G4,"0")&amp;"-"&amp;TEXT(Benchmarks!$I4,"0")&amp;" wks")</f>
        <v>10-14 wks</v>
      </c>
      <c r="E4" s="29">
        <f>Benchmarks!$L4</f>
        <v>5</v>
      </c>
      <c r="F4" s="29">
        <f>Benchmarks!$M4</f>
        <v>7.5</v>
      </c>
      <c r="G4" s="19" t="str">
        <f>IF(OR(Benchmarks!$L4="",Benchmarks!$N4=""),"",TEXT(Benchmarks!$L4,"0")&amp;"-"&amp;TEXT(Benchmarks!$N4,"0")&amp;" wks")</f>
        <v>5-10 wks</v>
      </c>
      <c r="H4" s="19" t="str">
        <f>Benchmarks!$P4</f>
        <v>100% top-up</v>
      </c>
      <c r="I4" s="19" t="str">
        <f>Benchmarks!$Q4</f>
        <v>Day 1</v>
      </c>
      <c r="J4" s="19" t="str">
        <f>Benchmarks!$R4</f>
        <v>Flexible chunks / 12 mo</v>
      </c>
      <c r="K4" s="19" t="str">
        <f>Benchmarks!$S4</f>
        <v>&lt;=1 wk</v>
      </c>
      <c r="L4" s="19" t="str">
        <f>Benchmarks!$E4</f>
        <v/>
      </c>
    </row>
    <row r="5">
      <c r="A5" s="19" t="str">
        <f>Benchmarks!$A5</f>
        <v>Series A | High-cost</v>
      </c>
      <c r="B5" s="29">
        <f>Benchmarks!$G5</f>
        <v>12</v>
      </c>
      <c r="C5" s="29">
        <f>Benchmarks!$H5</f>
        <v>14</v>
      </c>
      <c r="D5" s="19" t="str">
        <f>IF(OR(Benchmarks!$G5="",Benchmarks!$I5=""),"",TEXT(Benchmarks!$G5,"0")&amp;"-"&amp;TEXT(Benchmarks!$I5,"0")&amp;" wks")</f>
        <v>12-16 wks</v>
      </c>
      <c r="E5" s="29">
        <f>Benchmarks!$L5</f>
        <v>6</v>
      </c>
      <c r="F5" s="29">
        <f>Benchmarks!$M5</f>
        <v>7</v>
      </c>
      <c r="G5" s="19" t="str">
        <f>IF(OR(Benchmarks!$L5="",Benchmarks!$N5=""),"",TEXT(Benchmarks!$L5,"0")&amp;"-"&amp;TEXT(Benchmarks!$N5,"0")&amp;" wks")</f>
        <v>6-9 wks</v>
      </c>
      <c r="H5" s="19" t="str">
        <f>Benchmarks!$P5</f>
        <v>100% top-up</v>
      </c>
      <c r="I5" s="19" t="str">
        <f>Benchmarks!$Q5</f>
        <v>6 months</v>
      </c>
      <c r="J5" s="19" t="str">
        <f>Benchmarks!$R5</f>
        <v>Single block</v>
      </c>
      <c r="K5" s="19" t="str">
        <f>Benchmarks!$S5</f>
        <v>None</v>
      </c>
      <c r="L5" s="19" t="str">
        <f>Benchmarks!$E5</f>
        <v>LOW SAMPLE (n&lt;30)</v>
      </c>
    </row>
    <row r="6">
      <c r="A6" s="19" t="str">
        <f>Benchmarks!$A6</f>
        <v>Series B+ | Standard</v>
      </c>
      <c r="B6" s="29">
        <f>Benchmarks!$G6</f>
        <v>14</v>
      </c>
      <c r="C6" s="29">
        <f>Benchmarks!$H6</f>
        <v>18</v>
      </c>
      <c r="D6" s="19" t="str">
        <f>IF(OR(Benchmarks!$G6="",Benchmarks!$I6=""),"",TEXT(Benchmarks!$G6,"0")&amp;"-"&amp;TEXT(Benchmarks!$I6,"0")&amp;" wks")</f>
        <v>14-20 wks</v>
      </c>
      <c r="E6" s="29">
        <f>Benchmarks!$L6</f>
        <v>6</v>
      </c>
      <c r="F6" s="29">
        <f>Benchmarks!$M6</f>
        <v>10</v>
      </c>
      <c r="G6" s="19" t="str">
        <f>IF(OR(Benchmarks!$L6="",Benchmarks!$N6=""),"",TEXT(Benchmarks!$L6,"0")&amp;"-"&amp;TEXT(Benchmarks!$N6,"0")&amp;" wks")</f>
        <v>6-13 wks</v>
      </c>
      <c r="H6" s="19" t="str">
        <f>Benchmarks!$P6</f>
        <v>100% top-up</v>
      </c>
      <c r="I6" s="19" t="str">
        <f>Benchmarks!$Q6</f>
        <v>90 days</v>
      </c>
      <c r="J6" s="19" t="str">
        <f>Benchmarks!$R6</f>
        <v>Flexible chunks / 12 mo</v>
      </c>
      <c r="K6" s="19" t="str">
        <f>Benchmarks!$S6</f>
        <v>None</v>
      </c>
      <c r="L6" s="19" t="str">
        <f>Benchmarks!$E6</f>
        <v/>
      </c>
    </row>
    <row r="7">
      <c r="A7" s="19" t="str">
        <f>Benchmarks!$A7</f>
        <v>Series B+ | High-cost</v>
      </c>
      <c r="B7" s="29">
        <f>Benchmarks!$G7</f>
        <v>12</v>
      </c>
      <c r="C7" s="29">
        <f>Benchmarks!$H7</f>
        <v>16</v>
      </c>
      <c r="D7" s="19" t="str">
        <f>IF(OR(Benchmarks!$G7="",Benchmarks!$I7=""),"",TEXT(Benchmarks!$G7,"0")&amp;"-"&amp;TEXT(Benchmarks!$I7,"0")&amp;" wks")</f>
        <v>12-21 wks</v>
      </c>
      <c r="E7" s="29">
        <f>Benchmarks!$L7</f>
        <v>6</v>
      </c>
      <c r="F7" s="29">
        <f>Benchmarks!$M7</f>
        <v>9</v>
      </c>
      <c r="G7" s="19" t="str">
        <f>IF(OR(Benchmarks!$L7="",Benchmarks!$N7=""),"",TEXT(Benchmarks!$L7,"0")&amp;"-"&amp;TEXT(Benchmarks!$N7,"0")&amp;" wks")</f>
        <v>6-12 wks</v>
      </c>
      <c r="H7" s="19" t="str">
        <f>Benchmarks!$P7</f>
        <v>100% top-up</v>
      </c>
      <c r="I7" s="19" t="str">
        <f>Benchmarks!$Q7</f>
        <v>12 months</v>
      </c>
      <c r="J7" s="19" t="str">
        <f>Benchmarks!$R7</f>
        <v>Single block</v>
      </c>
      <c r="K7" s="19" t="str">
        <f>Benchmarks!$S7</f>
        <v>None</v>
      </c>
      <c r="L7" s="19" t="str">
        <f>Benchmarks!$E7</f>
        <v>LOW SAMPLE (n&lt;30)</v>
      </c>
    </row>
    <row r="9">
      <c r="A9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